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C++\_DA\Dreamer_Infotech\Projects\Excel\Insurance\"/>
    </mc:Choice>
  </mc:AlternateContent>
  <xr:revisionPtr revIDLastSave="0" documentId="13_ncr:1_{F73C9206-9D73-4FB1-903A-14C7E1627F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me Page" sheetId="1" r:id="rId1"/>
    <sheet name="Demographic Insights" sheetId="3" r:id="rId2"/>
    <sheet name="Policy Characteristics" sheetId="6" r:id="rId3"/>
    <sheet name="Plan Analysis" sheetId="7" r:id="rId4"/>
    <sheet name="Recommendation" sheetId="8" r:id="rId5"/>
    <sheet name="Pivot Tables" sheetId="5" r:id="rId6"/>
    <sheet name="Master_Data" sheetId="2" r:id="rId7"/>
  </sheets>
  <definedNames>
    <definedName name="ExternalData_1" localSheetId="6" hidden="1">Master_Data!$A$1:$G$102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6" l="1"/>
  <c r="B2" i="6"/>
  <c r="E3" i="6"/>
  <c r="B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F66E81-E7E7-4309-B7D7-EA2E12E0850D}" keepAlive="1" name="Query - Insurance" description="Connection to the 'Insurance' query in the workbook." type="5" refreshedVersion="8" background="1" saveData="1">
    <dbPr connection="Provider=Microsoft.Mashup.OleDb.1;Data Source=$Workbook$;Location=Insurance;Extended Properties=&quot;&quot;" command="SELECT * FROM [Insurance]"/>
  </connection>
</connections>
</file>

<file path=xl/sharedStrings.xml><?xml version="1.0" encoding="utf-8"?>
<sst xmlns="http://schemas.openxmlformats.org/spreadsheetml/2006/main" count="433" uniqueCount="92">
  <si>
    <t>Age</t>
  </si>
  <si>
    <t>Amount</t>
  </si>
  <si>
    <t>Plan</t>
  </si>
  <si>
    <t>Age Bucket</t>
  </si>
  <si>
    <t>Nonpar</t>
  </si>
  <si>
    <t>31-40</t>
  </si>
  <si>
    <t>Under 30</t>
  </si>
  <si>
    <t>Health</t>
  </si>
  <si>
    <t>41-49</t>
  </si>
  <si>
    <t>ULIP</t>
  </si>
  <si>
    <t>Par</t>
  </si>
  <si>
    <t>Policy Term(Years)</t>
  </si>
  <si>
    <t>Premium Paying Term</t>
  </si>
  <si>
    <t>Basic</t>
  </si>
  <si>
    <t>Mid</t>
  </si>
  <si>
    <t>Premium</t>
  </si>
  <si>
    <t>50</t>
  </si>
  <si>
    <t>Insurance Policy Amount</t>
  </si>
  <si>
    <t>Count of Insurance Policy Amount</t>
  </si>
  <si>
    <t>Total(%)</t>
  </si>
  <si>
    <t>Count by Age Bucket</t>
  </si>
  <si>
    <t>Count of Insurance Policy Amount and Age Bucket</t>
  </si>
  <si>
    <t>WHAT IS THE AGE DISTRIBUTION OF POLICYHOLDERS?</t>
  </si>
  <si>
    <t>Count of Plan</t>
  </si>
  <si>
    <t>2) Policy Characteristics</t>
  </si>
  <si>
    <t>1) Demographic Insights</t>
  </si>
  <si>
    <t>Average of Premium Paying Term</t>
  </si>
  <si>
    <t>3) Plan Analysis</t>
  </si>
  <si>
    <t>4) Recommendations</t>
  </si>
  <si>
    <t>Count of Premium Paying Term</t>
  </si>
  <si>
    <t>Count of Policy Term(Years)</t>
  </si>
  <si>
    <t>Count of Plan by Age Bucket</t>
  </si>
  <si>
    <t>Count of Policy Term</t>
  </si>
  <si>
    <t>Correlation Between Policy Term and Amount</t>
  </si>
  <si>
    <t>What are the most popular Plan types and Insurance Policy Amount?</t>
  </si>
  <si>
    <t/>
  </si>
  <si>
    <t>Insights</t>
  </si>
  <si>
    <t>Index</t>
  </si>
  <si>
    <t>Average of Policy Term(Years)</t>
  </si>
  <si>
    <t>What is the average Policy Term and Premium Paying Term? Are there significant differences by Plan?</t>
  </si>
  <si>
    <t>Average Policy Term</t>
  </si>
  <si>
    <t>Correlation between PPT and Amount</t>
  </si>
  <si>
    <t>1. Demographic Trends</t>
  </si>
  <si>
    <t>2. Policy Characteristics</t>
  </si>
  <si>
    <t>Health: 20 years.</t>
  </si>
  <si>
    <t>Nonpar: 19.13 years.</t>
  </si>
  <si>
    <t>Par and ULIP: 15 years.</t>
  </si>
  <si>
    <t>Nonpar: 9.68 years.</t>
  </si>
  <si>
    <t>Par: 7 years.</t>
  </si>
  <si>
    <t>ULIP: 5 years.</t>
  </si>
  <si>
    <t>3. Plan and Amount Analysis</t>
  </si>
  <si>
    <t>Recommendations</t>
  </si>
  <si>
    <t>Conclusion</t>
  </si>
  <si>
    <t>Age Distribution:</t>
  </si>
  <si>
    <t>Under 30 and 31-40 dominate, each with 38.61% of policies, followed by 41-49 at 21.78%, and 50+ at 0.99%.</t>
  </si>
  <si>
    <t>Policy Amount Preferences:</t>
  </si>
  <si>
    <t>Basic: Popular among Under 30 and 31-40 (22.77% each), 41-49 (4.95%).</t>
  </si>
  <si>
    <t>Mid: Under 30 (12.87%), 31-40 (10.89%), 41-49 (5.94%).</t>
  </si>
  <si>
    <t>Premium: 41-49 leads (10.89%), followed by 31-40 (4.95%), Under 30 (2.97%), 50+ (0.99%).</t>
  </si>
  <si>
    <t>Plan Preferences by Age:</t>
  </si>
  <si>
    <t>Nonpar: Most popular for Under 30 and 31-40 (28.71% each), 41-49 (9.90%).</t>
  </si>
  <si>
    <t>ULIP: 41-49 (10.89%), Under 30 (4.95%), 31-40 (3.96%), 50+ (0.99%).</t>
  </si>
  <si>
    <t>Par: 31-40 (4.95%), Under 30 (3.96%), 41-49 (0.99%).</t>
  </si>
  <si>
    <t>Health: Least popular, with Under 30 and 31-40 at 0.99% each.</t>
  </si>
  <si>
    <t>Averages:</t>
  </si>
  <si>
    <t>Average Policy Term: 17.91 years.</t>
  </si>
  <si>
    <t>Average PPT: 8.63 years.</t>
  </si>
  <si>
    <t>Correlations:</t>
  </si>
  <si>
    <t>Policy Term vs. Amount: -0.51 (weak negative).</t>
  </si>
  <si>
    <t>PPT vs. Amount: -0.59 (weak negative).</t>
  </si>
  <si>
    <t>Policy Term by Plan:</t>
  </si>
  <si>
    <t>PPT by Plan:</t>
  </si>
  <si>
    <t>Plan Popularity:</t>
  </si>
  <si>
    <t>Nonpar: 67.33%.</t>
  </si>
  <si>
    <t>ULIP: 20.79%.</t>
  </si>
  <si>
    <t>Par: 9.90%.</t>
  </si>
  <si>
    <t>Health: 1.98%.</t>
  </si>
  <si>
    <t>Amount Distribution:</t>
  </si>
  <si>
    <t>Basic: 50.50%.</t>
  </si>
  <si>
    <t>Mid: 29.70%.</t>
  </si>
  <si>
    <t>Premium: 19.80%.</t>
  </si>
  <si>
    <t>1. Target Young Customers:</t>
  </si>
  <si>
    <t>Focus on Under 30 and 31-40 (38.61% each) with Nonpar and Basic plans, their preferred choices.</t>
  </si>
  <si>
    <t>2. Promote Premium Plans for 41-49:</t>
  </si>
  <si>
    <t>Leverage the 41-49 group’s preference for Premium policies (10.89%) with targeted campaigns.</t>
  </si>
  <si>
    <t>3. Enhance Health Plans:</t>
  </si>
  <si>
    <t>Increase Health plan adoption (1.98%) by improving features or marketing, especially for younger groups.</t>
  </si>
  <si>
    <t>4. Offer Flexible Terms:</t>
  </si>
  <si>
    <t>Provide customizable Policy Term and PPT, as correlations with Amount are weak (-0.51, -0.59).</t>
  </si>
  <si>
    <t>5. Investigate 50+ Segment:</t>
  </si>
  <si>
    <t>Explore the low 50+ share (0.99%) to identify outreach or data collection gaps.</t>
  </si>
  <si>
    <t>The analysis highlights a young customer base favoring Nonpar and Basic policies, with opportunities to target the 41-49 group for Premium plans and boost Health plan uptake. These insights provide a foundation for strategic marketing and product development.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</si>
</sst>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Arial Black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8"/>
      <color theme="1"/>
      <name val="Arial Black"/>
      <family val="2"/>
    </font>
    <font>
      <u/>
      <sz val="14"/>
      <color theme="1"/>
      <name val="Arial Black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pivotButton="1" applyBorder="1"/>
    <xf numFmtId="0" fontId="0" fillId="0" borderId="1" xfId="0" applyBorder="1"/>
    <xf numFmtId="10" fontId="0" fillId="0" borderId="1" xfId="0" applyNumberFormat="1" applyBorder="1"/>
    <xf numFmtId="0" fontId="0" fillId="0" borderId="0" xfId="0" applyAlignment="1">
      <alignment horizontal="center"/>
    </xf>
    <xf numFmtId="0" fontId="1" fillId="0" borderId="0" xfId="0" applyFont="1"/>
    <xf numFmtId="10" fontId="0" fillId="0" borderId="0" xfId="0" applyNumberFormat="1"/>
    <xf numFmtId="0" fontId="4" fillId="0" borderId="1" xfId="0" applyFont="1" applyBorder="1"/>
    <xf numFmtId="0" fontId="5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5" fillId="0" borderId="2" xfId="0" applyFont="1" applyBorder="1"/>
    <xf numFmtId="0" fontId="6" fillId="0" borderId="1" xfId="1" applyBorder="1"/>
    <xf numFmtId="0" fontId="0" fillId="0" borderId="1" xfId="0" applyBorder="1" applyAlignment="1">
      <alignment horizontal="left"/>
    </xf>
    <xf numFmtId="4" fontId="0" fillId="0" borderId="1" xfId="0" applyNumberFormat="1" applyBorder="1"/>
    <xf numFmtId="2" fontId="5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7" fillId="0" borderId="0" xfId="0" applyFont="1" applyBorder="1" applyAlignment="1">
      <alignment horizontal="center" vertical="center"/>
    </xf>
    <xf numFmtId="0" fontId="0" fillId="0" borderId="0" xfId="0" applyFont="1" applyBorder="1"/>
    <xf numFmtId="0" fontId="8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10"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[Insurance_Project.xlsx]Pivot Tables!Age Bucket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Age</a:t>
            </a:r>
            <a:r>
              <a:rPr lang="en-IN" b="1" baseline="0"/>
              <a:t> Bucket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EF-4956-A3FD-10C13F2AB1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EF-4956-A3FD-10C13F2AB1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EF-4956-A3FD-10C13F2AB1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EF-4956-A3FD-10C13F2AB1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Tables'!$A$3:$A$6</c:f>
              <c:strCache>
                <c:ptCount val="4"/>
                <c:pt idx="0">
                  <c:v>31-40</c:v>
                </c:pt>
                <c:pt idx="1">
                  <c:v>41-49</c:v>
                </c:pt>
                <c:pt idx="2">
                  <c:v>50</c:v>
                </c:pt>
                <c:pt idx="3">
                  <c:v>Under 30</c:v>
                </c:pt>
              </c:strCache>
            </c:strRef>
          </c:cat>
          <c:val>
            <c:numRef>
              <c:f>'Pivot Tables'!$B$3:$B$6</c:f>
              <c:numCache>
                <c:formatCode>0.00%</c:formatCode>
                <c:ptCount val="4"/>
                <c:pt idx="0">
                  <c:v>0.38613861386138615</c:v>
                </c:pt>
                <c:pt idx="1">
                  <c:v>0.21782178217821782</c:v>
                </c:pt>
                <c:pt idx="2">
                  <c:v>9.9009900990099011E-3</c:v>
                </c:pt>
                <c:pt idx="3">
                  <c:v>0.38613861386138615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4-46CC-BC5A-4A9F8269B6B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[Insurance_Project.xlsx]Pivot 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/>
              <a:t>Insurance</a:t>
            </a:r>
            <a:r>
              <a:rPr lang="en-IN" sz="1400" b="1" baseline="0"/>
              <a:t> Poilcy Amount VS Age Bucket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Tables'!$E$2:$E$3</c:f>
              <c:strCache>
                <c:ptCount val="1"/>
                <c:pt idx="0">
                  <c:v>31-40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Tables'!$D$4:$D$6</c:f>
              <c:strCache>
                <c:ptCount val="3"/>
                <c:pt idx="0">
                  <c:v>Basic</c:v>
                </c:pt>
                <c:pt idx="1">
                  <c:v>Mid</c:v>
                </c:pt>
                <c:pt idx="2">
                  <c:v>Premium</c:v>
                </c:pt>
              </c:strCache>
            </c:strRef>
          </c:cat>
          <c:val>
            <c:numRef>
              <c:f>'Pivot Tables'!$E$4:$E$6</c:f>
              <c:numCache>
                <c:formatCode>0.00%</c:formatCode>
                <c:ptCount val="3"/>
                <c:pt idx="0">
                  <c:v>0.22772277227722773</c:v>
                </c:pt>
                <c:pt idx="1">
                  <c:v>0.10891089108910891</c:v>
                </c:pt>
                <c:pt idx="2">
                  <c:v>4.9504950495049507E-2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E-4B05-9474-ECA2E4F6E73C}"/>
            </c:ext>
          </c:extLst>
        </c:ser>
        <c:ser>
          <c:idx val="1"/>
          <c:order val="1"/>
          <c:tx>
            <c:strRef>
              <c:f>'Pivot Tables'!$F$2:$F$3</c:f>
              <c:strCache>
                <c:ptCount val="1"/>
                <c:pt idx="0">
                  <c:v>41-49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Tables'!$D$4:$D$6</c:f>
              <c:strCache>
                <c:ptCount val="3"/>
                <c:pt idx="0">
                  <c:v>Basic</c:v>
                </c:pt>
                <c:pt idx="1">
                  <c:v>Mid</c:v>
                </c:pt>
                <c:pt idx="2">
                  <c:v>Premium</c:v>
                </c:pt>
              </c:strCache>
            </c:strRef>
          </c:cat>
          <c:val>
            <c:numRef>
              <c:f>'Pivot Tables'!$F$4:$F$6</c:f>
              <c:numCache>
                <c:formatCode>0.00%</c:formatCode>
                <c:ptCount val="3"/>
                <c:pt idx="0">
                  <c:v>4.9504950495049507E-2</c:v>
                </c:pt>
                <c:pt idx="1">
                  <c:v>5.9405940594059403E-2</c:v>
                </c:pt>
                <c:pt idx="2">
                  <c:v>0.10891089108910891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AE-4B05-9474-ECA2E4F6E73C}"/>
            </c:ext>
          </c:extLst>
        </c:ser>
        <c:ser>
          <c:idx val="2"/>
          <c:order val="2"/>
          <c:tx>
            <c:strRef>
              <c:f>'Pivot Tables'!$G$2:$G$3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Tables'!$D$4:$D$6</c:f>
              <c:strCache>
                <c:ptCount val="3"/>
                <c:pt idx="0">
                  <c:v>Basic</c:v>
                </c:pt>
                <c:pt idx="1">
                  <c:v>Mid</c:v>
                </c:pt>
                <c:pt idx="2">
                  <c:v>Premium</c:v>
                </c:pt>
              </c:strCache>
            </c:strRef>
          </c:cat>
          <c:val>
            <c:numRef>
              <c:f>'Pivot Tables'!$G$4:$G$6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9.9009900990099011E-3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AE-4B05-9474-ECA2E4F6E73C}"/>
            </c:ext>
          </c:extLst>
        </c:ser>
        <c:ser>
          <c:idx val="3"/>
          <c:order val="3"/>
          <c:tx>
            <c:strRef>
              <c:f>'Pivot Tables'!$H$2:$H$3</c:f>
              <c:strCache>
                <c:ptCount val="1"/>
                <c:pt idx="0">
                  <c:v>Under 30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Tables'!$D$4:$D$6</c:f>
              <c:strCache>
                <c:ptCount val="3"/>
                <c:pt idx="0">
                  <c:v>Basic</c:v>
                </c:pt>
                <c:pt idx="1">
                  <c:v>Mid</c:v>
                </c:pt>
                <c:pt idx="2">
                  <c:v>Premium</c:v>
                </c:pt>
              </c:strCache>
            </c:strRef>
          </c:cat>
          <c:val>
            <c:numRef>
              <c:f>'Pivot Tables'!$H$4:$H$6</c:f>
              <c:numCache>
                <c:formatCode>0.00%</c:formatCode>
                <c:ptCount val="3"/>
                <c:pt idx="0">
                  <c:v>0.22772277227722773</c:v>
                </c:pt>
                <c:pt idx="1">
                  <c:v>0.12871287128712872</c:v>
                </c:pt>
                <c:pt idx="2">
                  <c:v>2.9702970297029702E-2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AE-4B05-9474-ECA2E4F6E7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5519648"/>
        <c:axId val="1025518688"/>
      </c:barChart>
      <c:catAx>
        <c:axId val="102551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18688"/>
        <c:crosses val="autoZero"/>
        <c:auto val="1"/>
        <c:lblAlgn val="ctr"/>
        <c:lblOffset val="100"/>
        <c:noMultiLvlLbl val="0"/>
      </c:catAx>
      <c:valAx>
        <c:axId val="102551868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02551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[Insurance_Project.xlsx]Pivot Tables!PivotTable3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/>
              <a:t>Plan</a:t>
            </a:r>
            <a:r>
              <a:rPr lang="en-IN" sz="1400" b="1" baseline="0"/>
              <a:t> vs Age Bucket</a:t>
            </a:r>
            <a:endParaRPr lang="en-IN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3045267489712E-3"/>
          <c:y val="0.14960211646850918"/>
          <c:w val="0.98765432098765427"/>
          <c:h val="0.789978668005144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Tables'!$K$2:$K$3</c:f>
              <c:strCache>
                <c:ptCount val="1"/>
                <c:pt idx="0">
                  <c:v>31-40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Tables'!$J$4:$J$7</c:f>
              <c:strCache>
                <c:ptCount val="4"/>
                <c:pt idx="0">
                  <c:v>Health</c:v>
                </c:pt>
                <c:pt idx="1">
                  <c:v>Nonpar</c:v>
                </c:pt>
                <c:pt idx="2">
                  <c:v>Par</c:v>
                </c:pt>
                <c:pt idx="3">
                  <c:v>ULIP</c:v>
                </c:pt>
              </c:strCache>
            </c:strRef>
          </c:cat>
          <c:val>
            <c:numRef>
              <c:f>'Pivot Tables'!$K$4:$K$7</c:f>
              <c:numCache>
                <c:formatCode>0.00%</c:formatCode>
                <c:ptCount val="4"/>
                <c:pt idx="0">
                  <c:v>9.9009900990099011E-3</c:v>
                </c:pt>
                <c:pt idx="1">
                  <c:v>0.28712871287128711</c:v>
                </c:pt>
                <c:pt idx="2">
                  <c:v>4.9504950495049507E-2</c:v>
                </c:pt>
                <c:pt idx="3">
                  <c:v>3.9603960396039604E-2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A-4C01-9A31-82643980F441}"/>
            </c:ext>
          </c:extLst>
        </c:ser>
        <c:ser>
          <c:idx val="1"/>
          <c:order val="1"/>
          <c:tx>
            <c:strRef>
              <c:f>'Pivot Tables'!$L$2:$L$3</c:f>
              <c:strCache>
                <c:ptCount val="1"/>
                <c:pt idx="0">
                  <c:v>41-49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Tables'!$J$4:$J$7</c:f>
              <c:strCache>
                <c:ptCount val="4"/>
                <c:pt idx="0">
                  <c:v>Health</c:v>
                </c:pt>
                <c:pt idx="1">
                  <c:v>Nonpar</c:v>
                </c:pt>
                <c:pt idx="2">
                  <c:v>Par</c:v>
                </c:pt>
                <c:pt idx="3">
                  <c:v>ULIP</c:v>
                </c:pt>
              </c:strCache>
            </c:strRef>
          </c:cat>
          <c:val>
            <c:numRef>
              <c:f>'Pivot Tables'!$L$4:$L$7</c:f>
              <c:numCache>
                <c:formatCode>0.00%</c:formatCode>
                <c:ptCount val="4"/>
                <c:pt idx="0">
                  <c:v>0</c:v>
                </c:pt>
                <c:pt idx="1">
                  <c:v>9.9009900990099015E-2</c:v>
                </c:pt>
                <c:pt idx="2">
                  <c:v>9.9009900990099011E-3</c:v>
                </c:pt>
                <c:pt idx="3">
                  <c:v>0.10891089108910891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7A-4C01-9A31-82643980F441}"/>
            </c:ext>
          </c:extLst>
        </c:ser>
        <c:ser>
          <c:idx val="2"/>
          <c:order val="2"/>
          <c:tx>
            <c:strRef>
              <c:f>'Pivot Tables'!$M$2:$M$3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Tables'!$J$4:$J$7</c:f>
              <c:strCache>
                <c:ptCount val="4"/>
                <c:pt idx="0">
                  <c:v>Health</c:v>
                </c:pt>
                <c:pt idx="1">
                  <c:v>Nonpar</c:v>
                </c:pt>
                <c:pt idx="2">
                  <c:v>Par</c:v>
                </c:pt>
                <c:pt idx="3">
                  <c:v>ULIP</c:v>
                </c:pt>
              </c:strCache>
            </c:strRef>
          </c:cat>
          <c:val>
            <c:numRef>
              <c:f>'Pivot Tables'!$M$4:$M$7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9.9009900990099011E-3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7A-4C01-9A31-82643980F441}"/>
            </c:ext>
          </c:extLst>
        </c:ser>
        <c:ser>
          <c:idx val="3"/>
          <c:order val="3"/>
          <c:tx>
            <c:strRef>
              <c:f>'Pivot Tables'!$N$2:$N$3</c:f>
              <c:strCache>
                <c:ptCount val="1"/>
                <c:pt idx="0">
                  <c:v>Under 30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Tables'!$J$4:$J$7</c:f>
              <c:strCache>
                <c:ptCount val="4"/>
                <c:pt idx="0">
                  <c:v>Health</c:v>
                </c:pt>
                <c:pt idx="1">
                  <c:v>Nonpar</c:v>
                </c:pt>
                <c:pt idx="2">
                  <c:v>Par</c:v>
                </c:pt>
                <c:pt idx="3">
                  <c:v>ULIP</c:v>
                </c:pt>
              </c:strCache>
            </c:strRef>
          </c:cat>
          <c:val>
            <c:numRef>
              <c:f>'Pivot Tables'!$N$4:$N$7</c:f>
              <c:numCache>
                <c:formatCode>0.00%</c:formatCode>
                <c:ptCount val="4"/>
                <c:pt idx="0">
                  <c:v>9.9009900990099011E-3</c:v>
                </c:pt>
                <c:pt idx="1">
                  <c:v>0.28712871287128711</c:v>
                </c:pt>
                <c:pt idx="2">
                  <c:v>3.9603960396039604E-2</c:v>
                </c:pt>
                <c:pt idx="3">
                  <c:v>4.9504950495049507E-2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7A-4C01-9A31-82643980F4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7227328"/>
        <c:axId val="6689215"/>
      </c:barChart>
      <c:catAx>
        <c:axId val="189722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215"/>
        <c:crosses val="autoZero"/>
        <c:auto val="1"/>
        <c:lblAlgn val="ctr"/>
        <c:lblOffset val="100"/>
        <c:noMultiLvlLbl val="0"/>
      </c:catAx>
      <c:valAx>
        <c:axId val="6689215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89722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Amount VS PPT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Master_Data!$B:$B</c:f>
              <c:strCache>
                <c:ptCount val="101"/>
                <c:pt idx="0">
                  <c:v>Policy Term(Years)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12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14</c:v>
                </c:pt>
                <c:pt idx="18">
                  <c:v>20</c:v>
                </c:pt>
                <c:pt idx="19">
                  <c:v>15</c:v>
                </c:pt>
                <c:pt idx="20">
                  <c:v>15</c:v>
                </c:pt>
                <c:pt idx="21">
                  <c:v>20</c:v>
                </c:pt>
                <c:pt idx="22">
                  <c:v>15</c:v>
                </c:pt>
                <c:pt idx="23">
                  <c:v>20</c:v>
                </c:pt>
                <c:pt idx="24">
                  <c:v>15</c:v>
                </c:pt>
                <c:pt idx="25">
                  <c:v>20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20</c:v>
                </c:pt>
                <c:pt idx="30">
                  <c:v>20</c:v>
                </c:pt>
                <c:pt idx="31">
                  <c:v>15</c:v>
                </c:pt>
                <c:pt idx="32">
                  <c:v>15</c:v>
                </c:pt>
                <c:pt idx="33">
                  <c:v>20</c:v>
                </c:pt>
                <c:pt idx="34">
                  <c:v>15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20</c:v>
                </c:pt>
                <c:pt idx="43">
                  <c:v>15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20</c:v>
                </c:pt>
                <c:pt idx="57">
                  <c:v>15</c:v>
                </c:pt>
                <c:pt idx="58">
                  <c:v>20</c:v>
                </c:pt>
                <c:pt idx="59">
                  <c:v>15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20</c:v>
                </c:pt>
                <c:pt idx="68">
                  <c:v>20</c:v>
                </c:pt>
                <c:pt idx="69">
                  <c:v>15</c:v>
                </c:pt>
                <c:pt idx="70">
                  <c:v>20</c:v>
                </c:pt>
                <c:pt idx="71">
                  <c:v>15</c:v>
                </c:pt>
                <c:pt idx="72">
                  <c:v>20</c:v>
                </c:pt>
                <c:pt idx="73">
                  <c:v>20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20</c:v>
                </c:pt>
                <c:pt idx="81">
                  <c:v>15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15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15</c:v>
                </c:pt>
                <c:pt idx="94">
                  <c:v>15</c:v>
                </c:pt>
                <c:pt idx="95">
                  <c:v>20</c:v>
                </c:pt>
                <c:pt idx="96">
                  <c:v>15</c:v>
                </c:pt>
                <c:pt idx="97">
                  <c:v>15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</c:strCache>
            </c:strRef>
          </c:xVal>
          <c:yVal>
            <c:numRef>
              <c:f>Master_Data!$D:$D</c:f>
              <c:numCache>
                <c:formatCode>General</c:formatCode>
                <c:ptCount val="1048576"/>
                <c:pt idx="0">
                  <c:v>0</c:v>
                </c:pt>
                <c:pt idx="1">
                  <c:v>30000</c:v>
                </c:pt>
                <c:pt idx="2">
                  <c:v>25000</c:v>
                </c:pt>
                <c:pt idx="3">
                  <c:v>30000</c:v>
                </c:pt>
                <c:pt idx="4">
                  <c:v>2000</c:v>
                </c:pt>
                <c:pt idx="5">
                  <c:v>25000</c:v>
                </c:pt>
                <c:pt idx="6">
                  <c:v>30000</c:v>
                </c:pt>
                <c:pt idx="7">
                  <c:v>30000</c:v>
                </c:pt>
                <c:pt idx="8">
                  <c:v>1500</c:v>
                </c:pt>
                <c:pt idx="9">
                  <c:v>100000</c:v>
                </c:pt>
                <c:pt idx="10">
                  <c:v>30000</c:v>
                </c:pt>
                <c:pt idx="11">
                  <c:v>100000</c:v>
                </c:pt>
                <c:pt idx="12">
                  <c:v>30000</c:v>
                </c:pt>
                <c:pt idx="13">
                  <c:v>30000</c:v>
                </c:pt>
                <c:pt idx="14">
                  <c:v>100000</c:v>
                </c:pt>
                <c:pt idx="15">
                  <c:v>275000</c:v>
                </c:pt>
                <c:pt idx="16">
                  <c:v>30000</c:v>
                </c:pt>
                <c:pt idx="17">
                  <c:v>30000</c:v>
                </c:pt>
                <c:pt idx="18">
                  <c:v>30000</c:v>
                </c:pt>
                <c:pt idx="19">
                  <c:v>335000</c:v>
                </c:pt>
                <c:pt idx="20">
                  <c:v>40000</c:v>
                </c:pt>
                <c:pt idx="21">
                  <c:v>20000</c:v>
                </c:pt>
                <c:pt idx="22">
                  <c:v>100000</c:v>
                </c:pt>
                <c:pt idx="23">
                  <c:v>100000</c:v>
                </c:pt>
                <c:pt idx="24">
                  <c:v>200000</c:v>
                </c:pt>
                <c:pt idx="25">
                  <c:v>100000</c:v>
                </c:pt>
                <c:pt idx="26">
                  <c:v>100000</c:v>
                </c:pt>
                <c:pt idx="27">
                  <c:v>75000</c:v>
                </c:pt>
                <c:pt idx="28">
                  <c:v>250000</c:v>
                </c:pt>
                <c:pt idx="29">
                  <c:v>100000</c:v>
                </c:pt>
                <c:pt idx="30">
                  <c:v>100000</c:v>
                </c:pt>
                <c:pt idx="31">
                  <c:v>50000</c:v>
                </c:pt>
                <c:pt idx="32">
                  <c:v>75000</c:v>
                </c:pt>
                <c:pt idx="33">
                  <c:v>50000</c:v>
                </c:pt>
                <c:pt idx="34">
                  <c:v>75000</c:v>
                </c:pt>
                <c:pt idx="35">
                  <c:v>30000</c:v>
                </c:pt>
                <c:pt idx="36">
                  <c:v>20000</c:v>
                </c:pt>
                <c:pt idx="37">
                  <c:v>25000</c:v>
                </c:pt>
                <c:pt idx="38">
                  <c:v>20000</c:v>
                </c:pt>
                <c:pt idx="39">
                  <c:v>500000</c:v>
                </c:pt>
                <c:pt idx="40">
                  <c:v>150000</c:v>
                </c:pt>
                <c:pt idx="41">
                  <c:v>200000</c:v>
                </c:pt>
                <c:pt idx="42">
                  <c:v>100000</c:v>
                </c:pt>
                <c:pt idx="43">
                  <c:v>50000</c:v>
                </c:pt>
                <c:pt idx="44">
                  <c:v>100000</c:v>
                </c:pt>
                <c:pt idx="45">
                  <c:v>50000</c:v>
                </c:pt>
                <c:pt idx="46">
                  <c:v>75000</c:v>
                </c:pt>
                <c:pt idx="47">
                  <c:v>150000</c:v>
                </c:pt>
                <c:pt idx="48">
                  <c:v>50000</c:v>
                </c:pt>
                <c:pt idx="49">
                  <c:v>50000</c:v>
                </c:pt>
                <c:pt idx="50">
                  <c:v>100000</c:v>
                </c:pt>
                <c:pt idx="51">
                  <c:v>100000</c:v>
                </c:pt>
                <c:pt idx="52">
                  <c:v>60000</c:v>
                </c:pt>
                <c:pt idx="53">
                  <c:v>50000</c:v>
                </c:pt>
                <c:pt idx="54">
                  <c:v>100000</c:v>
                </c:pt>
                <c:pt idx="55">
                  <c:v>350000</c:v>
                </c:pt>
                <c:pt idx="56">
                  <c:v>200000</c:v>
                </c:pt>
                <c:pt idx="57">
                  <c:v>500000</c:v>
                </c:pt>
                <c:pt idx="58">
                  <c:v>20000</c:v>
                </c:pt>
                <c:pt idx="59">
                  <c:v>300000</c:v>
                </c:pt>
                <c:pt idx="60">
                  <c:v>30000</c:v>
                </c:pt>
                <c:pt idx="61">
                  <c:v>50000</c:v>
                </c:pt>
                <c:pt idx="62">
                  <c:v>60000</c:v>
                </c:pt>
                <c:pt idx="63">
                  <c:v>75000</c:v>
                </c:pt>
                <c:pt idx="64">
                  <c:v>200000</c:v>
                </c:pt>
                <c:pt idx="65">
                  <c:v>500000</c:v>
                </c:pt>
                <c:pt idx="66">
                  <c:v>100000</c:v>
                </c:pt>
                <c:pt idx="67">
                  <c:v>50000</c:v>
                </c:pt>
                <c:pt idx="68">
                  <c:v>30000</c:v>
                </c:pt>
                <c:pt idx="69">
                  <c:v>65000</c:v>
                </c:pt>
                <c:pt idx="70">
                  <c:v>30000</c:v>
                </c:pt>
                <c:pt idx="71">
                  <c:v>175000</c:v>
                </c:pt>
                <c:pt idx="72">
                  <c:v>50000</c:v>
                </c:pt>
                <c:pt idx="73">
                  <c:v>40000</c:v>
                </c:pt>
                <c:pt idx="74">
                  <c:v>200000</c:v>
                </c:pt>
                <c:pt idx="75">
                  <c:v>400000</c:v>
                </c:pt>
                <c:pt idx="76">
                  <c:v>300000</c:v>
                </c:pt>
                <c:pt idx="77">
                  <c:v>200000</c:v>
                </c:pt>
                <c:pt idx="78">
                  <c:v>60000</c:v>
                </c:pt>
                <c:pt idx="79">
                  <c:v>100000</c:v>
                </c:pt>
                <c:pt idx="80">
                  <c:v>100000</c:v>
                </c:pt>
                <c:pt idx="81">
                  <c:v>60000</c:v>
                </c:pt>
                <c:pt idx="82">
                  <c:v>25000</c:v>
                </c:pt>
                <c:pt idx="83">
                  <c:v>35000</c:v>
                </c:pt>
                <c:pt idx="84">
                  <c:v>30000</c:v>
                </c:pt>
                <c:pt idx="85">
                  <c:v>50000</c:v>
                </c:pt>
                <c:pt idx="86">
                  <c:v>500000</c:v>
                </c:pt>
                <c:pt idx="87">
                  <c:v>50000</c:v>
                </c:pt>
                <c:pt idx="88">
                  <c:v>30000</c:v>
                </c:pt>
                <c:pt idx="89">
                  <c:v>20000</c:v>
                </c:pt>
                <c:pt idx="90">
                  <c:v>50000</c:v>
                </c:pt>
                <c:pt idx="91">
                  <c:v>50000</c:v>
                </c:pt>
                <c:pt idx="92">
                  <c:v>50000</c:v>
                </c:pt>
                <c:pt idx="93">
                  <c:v>200000</c:v>
                </c:pt>
                <c:pt idx="94">
                  <c:v>250000</c:v>
                </c:pt>
                <c:pt idx="95">
                  <c:v>50000</c:v>
                </c:pt>
                <c:pt idx="96">
                  <c:v>50000</c:v>
                </c:pt>
                <c:pt idx="97">
                  <c:v>300000</c:v>
                </c:pt>
                <c:pt idx="98">
                  <c:v>20000</c:v>
                </c:pt>
                <c:pt idx="99">
                  <c:v>50000</c:v>
                </c:pt>
                <c:pt idx="100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AD-49E0-B23D-AFD30BF02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333439"/>
        <c:axId val="1372333919"/>
      </c:scatterChart>
      <c:valAx>
        <c:axId val="137233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ysClr val="windowText" lastClr="000000"/>
                    </a:solidFill>
                  </a:rPr>
                  <a:t>Premium Paying Term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333919"/>
        <c:crosses val="autoZero"/>
        <c:crossBetween val="midCat"/>
      </c:valAx>
      <c:valAx>
        <c:axId val="137233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ysClr val="windowText" lastClr="000000"/>
                    </a:solidFill>
                  </a:rPr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33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Policy Term VS Amount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Master_Data!$B:$B</c:f>
              <c:strCache>
                <c:ptCount val="101"/>
                <c:pt idx="0">
                  <c:v>Policy Term(Years)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12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14</c:v>
                </c:pt>
                <c:pt idx="18">
                  <c:v>20</c:v>
                </c:pt>
                <c:pt idx="19">
                  <c:v>15</c:v>
                </c:pt>
                <c:pt idx="20">
                  <c:v>15</c:v>
                </c:pt>
                <c:pt idx="21">
                  <c:v>20</c:v>
                </c:pt>
                <c:pt idx="22">
                  <c:v>15</c:v>
                </c:pt>
                <c:pt idx="23">
                  <c:v>20</c:v>
                </c:pt>
                <c:pt idx="24">
                  <c:v>15</c:v>
                </c:pt>
                <c:pt idx="25">
                  <c:v>20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20</c:v>
                </c:pt>
                <c:pt idx="30">
                  <c:v>20</c:v>
                </c:pt>
                <c:pt idx="31">
                  <c:v>15</c:v>
                </c:pt>
                <c:pt idx="32">
                  <c:v>15</c:v>
                </c:pt>
                <c:pt idx="33">
                  <c:v>20</c:v>
                </c:pt>
                <c:pt idx="34">
                  <c:v>15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20</c:v>
                </c:pt>
                <c:pt idx="43">
                  <c:v>15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20</c:v>
                </c:pt>
                <c:pt idx="57">
                  <c:v>15</c:v>
                </c:pt>
                <c:pt idx="58">
                  <c:v>20</c:v>
                </c:pt>
                <c:pt idx="59">
                  <c:v>15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20</c:v>
                </c:pt>
                <c:pt idx="68">
                  <c:v>20</c:v>
                </c:pt>
                <c:pt idx="69">
                  <c:v>15</c:v>
                </c:pt>
                <c:pt idx="70">
                  <c:v>20</c:v>
                </c:pt>
                <c:pt idx="71">
                  <c:v>15</c:v>
                </c:pt>
                <c:pt idx="72">
                  <c:v>20</c:v>
                </c:pt>
                <c:pt idx="73">
                  <c:v>20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20</c:v>
                </c:pt>
                <c:pt idx="81">
                  <c:v>15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15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15</c:v>
                </c:pt>
                <c:pt idx="94">
                  <c:v>15</c:v>
                </c:pt>
                <c:pt idx="95">
                  <c:v>20</c:v>
                </c:pt>
                <c:pt idx="96">
                  <c:v>15</c:v>
                </c:pt>
                <c:pt idx="97">
                  <c:v>15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</c:strCache>
            </c:strRef>
          </c:xVal>
          <c:yVal>
            <c:numRef>
              <c:f>Master_Data!$D:$D</c:f>
              <c:numCache>
                <c:formatCode>General</c:formatCode>
                <c:ptCount val="1048576"/>
                <c:pt idx="0">
                  <c:v>0</c:v>
                </c:pt>
                <c:pt idx="1">
                  <c:v>30000</c:v>
                </c:pt>
                <c:pt idx="2">
                  <c:v>25000</c:v>
                </c:pt>
                <c:pt idx="3">
                  <c:v>30000</c:v>
                </c:pt>
                <c:pt idx="4">
                  <c:v>2000</c:v>
                </c:pt>
                <c:pt idx="5">
                  <c:v>25000</c:v>
                </c:pt>
                <c:pt idx="6">
                  <c:v>30000</c:v>
                </c:pt>
                <c:pt idx="7">
                  <c:v>30000</c:v>
                </c:pt>
                <c:pt idx="8">
                  <c:v>1500</c:v>
                </c:pt>
                <c:pt idx="9">
                  <c:v>100000</c:v>
                </c:pt>
                <c:pt idx="10">
                  <c:v>30000</c:v>
                </c:pt>
                <c:pt idx="11">
                  <c:v>100000</c:v>
                </c:pt>
                <c:pt idx="12">
                  <c:v>30000</c:v>
                </c:pt>
                <c:pt idx="13">
                  <c:v>30000</c:v>
                </c:pt>
                <c:pt idx="14">
                  <c:v>100000</c:v>
                </c:pt>
                <c:pt idx="15">
                  <c:v>275000</c:v>
                </c:pt>
                <c:pt idx="16">
                  <c:v>30000</c:v>
                </c:pt>
                <c:pt idx="17">
                  <c:v>30000</c:v>
                </c:pt>
                <c:pt idx="18">
                  <c:v>30000</c:v>
                </c:pt>
                <c:pt idx="19">
                  <c:v>335000</c:v>
                </c:pt>
                <c:pt idx="20">
                  <c:v>40000</c:v>
                </c:pt>
                <c:pt idx="21">
                  <c:v>20000</c:v>
                </c:pt>
                <c:pt idx="22">
                  <c:v>100000</c:v>
                </c:pt>
                <c:pt idx="23">
                  <c:v>100000</c:v>
                </c:pt>
                <c:pt idx="24">
                  <c:v>200000</c:v>
                </c:pt>
                <c:pt idx="25">
                  <c:v>100000</c:v>
                </c:pt>
                <c:pt idx="26">
                  <c:v>100000</c:v>
                </c:pt>
                <c:pt idx="27">
                  <c:v>75000</c:v>
                </c:pt>
                <c:pt idx="28">
                  <c:v>250000</c:v>
                </c:pt>
                <c:pt idx="29">
                  <c:v>100000</c:v>
                </c:pt>
                <c:pt idx="30">
                  <c:v>100000</c:v>
                </c:pt>
                <c:pt idx="31">
                  <c:v>50000</c:v>
                </c:pt>
                <c:pt idx="32">
                  <c:v>75000</c:v>
                </c:pt>
                <c:pt idx="33">
                  <c:v>50000</c:v>
                </c:pt>
                <c:pt idx="34">
                  <c:v>75000</c:v>
                </c:pt>
                <c:pt idx="35">
                  <c:v>30000</c:v>
                </c:pt>
                <c:pt idx="36">
                  <c:v>20000</c:v>
                </c:pt>
                <c:pt idx="37">
                  <c:v>25000</c:v>
                </c:pt>
                <c:pt idx="38">
                  <c:v>20000</c:v>
                </c:pt>
                <c:pt idx="39">
                  <c:v>500000</c:v>
                </c:pt>
                <c:pt idx="40">
                  <c:v>150000</c:v>
                </c:pt>
                <c:pt idx="41">
                  <c:v>200000</c:v>
                </c:pt>
                <c:pt idx="42">
                  <c:v>100000</c:v>
                </c:pt>
                <c:pt idx="43">
                  <c:v>50000</c:v>
                </c:pt>
                <c:pt idx="44">
                  <c:v>100000</c:v>
                </c:pt>
                <c:pt idx="45">
                  <c:v>50000</c:v>
                </c:pt>
                <c:pt idx="46">
                  <c:v>75000</c:v>
                </c:pt>
                <c:pt idx="47">
                  <c:v>150000</c:v>
                </c:pt>
                <c:pt idx="48">
                  <c:v>50000</c:v>
                </c:pt>
                <c:pt idx="49">
                  <c:v>50000</c:v>
                </c:pt>
                <c:pt idx="50">
                  <c:v>100000</c:v>
                </c:pt>
                <c:pt idx="51">
                  <c:v>100000</c:v>
                </c:pt>
                <c:pt idx="52">
                  <c:v>60000</c:v>
                </c:pt>
                <c:pt idx="53">
                  <c:v>50000</c:v>
                </c:pt>
                <c:pt idx="54">
                  <c:v>100000</c:v>
                </c:pt>
                <c:pt idx="55">
                  <c:v>350000</c:v>
                </c:pt>
                <c:pt idx="56">
                  <c:v>200000</c:v>
                </c:pt>
                <c:pt idx="57">
                  <c:v>500000</c:v>
                </c:pt>
                <c:pt idx="58">
                  <c:v>20000</c:v>
                </c:pt>
                <c:pt idx="59">
                  <c:v>300000</c:v>
                </c:pt>
                <c:pt idx="60">
                  <c:v>30000</c:v>
                </c:pt>
                <c:pt idx="61">
                  <c:v>50000</c:v>
                </c:pt>
                <c:pt idx="62">
                  <c:v>60000</c:v>
                </c:pt>
                <c:pt idx="63">
                  <c:v>75000</c:v>
                </c:pt>
                <c:pt idx="64">
                  <c:v>200000</c:v>
                </c:pt>
                <c:pt idx="65">
                  <c:v>500000</c:v>
                </c:pt>
                <c:pt idx="66">
                  <c:v>100000</c:v>
                </c:pt>
                <c:pt idx="67">
                  <c:v>50000</c:v>
                </c:pt>
                <c:pt idx="68">
                  <c:v>30000</c:v>
                </c:pt>
                <c:pt idx="69">
                  <c:v>65000</c:v>
                </c:pt>
                <c:pt idx="70">
                  <c:v>30000</c:v>
                </c:pt>
                <c:pt idx="71">
                  <c:v>175000</c:v>
                </c:pt>
                <c:pt idx="72">
                  <c:v>50000</c:v>
                </c:pt>
                <c:pt idx="73">
                  <c:v>40000</c:v>
                </c:pt>
                <c:pt idx="74">
                  <c:v>200000</c:v>
                </c:pt>
                <c:pt idx="75">
                  <c:v>400000</c:v>
                </c:pt>
                <c:pt idx="76">
                  <c:v>300000</c:v>
                </c:pt>
                <c:pt idx="77">
                  <c:v>200000</c:v>
                </c:pt>
                <c:pt idx="78">
                  <c:v>60000</c:v>
                </c:pt>
                <c:pt idx="79">
                  <c:v>100000</c:v>
                </c:pt>
                <c:pt idx="80">
                  <c:v>100000</c:v>
                </c:pt>
                <c:pt idx="81">
                  <c:v>60000</c:v>
                </c:pt>
                <c:pt idx="82">
                  <c:v>25000</c:v>
                </c:pt>
                <c:pt idx="83">
                  <c:v>35000</c:v>
                </c:pt>
                <c:pt idx="84">
                  <c:v>30000</c:v>
                </c:pt>
                <c:pt idx="85">
                  <c:v>50000</c:v>
                </c:pt>
                <c:pt idx="86">
                  <c:v>500000</c:v>
                </c:pt>
                <c:pt idx="87">
                  <c:v>50000</c:v>
                </c:pt>
                <c:pt idx="88">
                  <c:v>30000</c:v>
                </c:pt>
                <c:pt idx="89">
                  <c:v>20000</c:v>
                </c:pt>
                <c:pt idx="90">
                  <c:v>50000</c:v>
                </c:pt>
                <c:pt idx="91">
                  <c:v>50000</c:v>
                </c:pt>
                <c:pt idx="92">
                  <c:v>50000</c:v>
                </c:pt>
                <c:pt idx="93">
                  <c:v>200000</c:v>
                </c:pt>
                <c:pt idx="94">
                  <c:v>250000</c:v>
                </c:pt>
                <c:pt idx="95">
                  <c:v>50000</c:v>
                </c:pt>
                <c:pt idx="96">
                  <c:v>50000</c:v>
                </c:pt>
                <c:pt idx="97">
                  <c:v>300000</c:v>
                </c:pt>
                <c:pt idx="98">
                  <c:v>20000</c:v>
                </c:pt>
                <c:pt idx="99">
                  <c:v>50000</c:v>
                </c:pt>
                <c:pt idx="100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E7-409B-896B-9520D7B63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345439"/>
        <c:axId val="1372345919"/>
      </c:scatterChart>
      <c:valAx>
        <c:axId val="137234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ysClr val="windowText" lastClr="000000"/>
                    </a:solidFill>
                  </a:rPr>
                  <a:t>Policy</a:t>
                </a:r>
                <a:r>
                  <a:rPr lang="en-IN" sz="1100" b="1" baseline="0">
                    <a:solidFill>
                      <a:sysClr val="windowText" lastClr="000000"/>
                    </a:solidFill>
                  </a:rPr>
                  <a:t> Term(Years)</a:t>
                </a:r>
                <a:endParaRPr lang="en-IN" sz="11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345919"/>
        <c:crosses val="autoZero"/>
        <c:crossBetween val="midCat"/>
      </c:valAx>
      <c:valAx>
        <c:axId val="137234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ysClr val="windowText" lastClr="000000"/>
                    </a:solidFill>
                  </a:rPr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34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[Insurance_Project.xlsx]Pivot 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04-4959-9C07-E73D5FA57B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04-4959-9C07-E73D5FA57B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04-4959-9C07-E73D5FA57B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04-4959-9C07-E73D5FA57B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Tables'!$A$14:$A$17</c:f>
              <c:strCache>
                <c:ptCount val="4"/>
                <c:pt idx="0">
                  <c:v>Health</c:v>
                </c:pt>
                <c:pt idx="1">
                  <c:v>Nonpar</c:v>
                </c:pt>
                <c:pt idx="2">
                  <c:v>Par</c:v>
                </c:pt>
                <c:pt idx="3">
                  <c:v>ULIP</c:v>
                </c:pt>
              </c:strCache>
            </c:strRef>
          </c:cat>
          <c:val>
            <c:numRef>
              <c:f>'Pivot Tables'!$B$14:$B$17</c:f>
              <c:numCache>
                <c:formatCode>0.00%</c:formatCode>
                <c:ptCount val="4"/>
                <c:pt idx="0">
                  <c:v>1.9801980198019802E-2</c:v>
                </c:pt>
                <c:pt idx="1">
                  <c:v>0.67326732673267331</c:v>
                </c:pt>
                <c:pt idx="2">
                  <c:v>9.9009900990099015E-2</c:v>
                </c:pt>
                <c:pt idx="3">
                  <c:v>0.20792079207920791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04-4959-9C07-E73D5FA57B4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0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[Insurance_Project.xlsx]Pivot Tables!PivotTable8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ysClr val="windowText" lastClr="000000"/>
                </a:solidFill>
              </a:rPr>
              <a:t>Insurance Policy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Tables'!$F$13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75-461D-A153-D671C2EEDC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75-461D-A153-D671C2EEDC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75-461D-A153-D671C2EEDC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Tables'!$E$14:$E$16</c:f>
              <c:strCache>
                <c:ptCount val="3"/>
                <c:pt idx="0">
                  <c:v>Basic</c:v>
                </c:pt>
                <c:pt idx="1">
                  <c:v>Mid</c:v>
                </c:pt>
                <c:pt idx="2">
                  <c:v>Premium</c:v>
                </c:pt>
              </c:strCache>
            </c:strRef>
          </c:cat>
          <c:val>
            <c:numRef>
              <c:f>'Pivot Tables'!$F$14:$F$16</c:f>
              <c:numCache>
                <c:formatCode>0.00%</c:formatCode>
                <c:ptCount val="3"/>
                <c:pt idx="0">
                  <c:v>0.50495049504950495</c:v>
                </c:pt>
                <c:pt idx="1">
                  <c:v>0.29702970297029702</c:v>
                </c:pt>
                <c:pt idx="2">
                  <c:v>0.19801980198019803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75-461D-A153-D671C2EEDC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lang="en-US" sz="10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312420</xdr:rowOff>
    </xdr:from>
    <xdr:to>
      <xdr:col>3</xdr:col>
      <xdr:colOff>60960</xdr:colOff>
      <xdr:row>27</xdr:row>
      <xdr:rowOff>137100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BE4117-F8EA-0C0F-C775-B10E522E8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320040</xdr:colOff>
      <xdr:row>1</xdr:row>
      <xdr:rowOff>0</xdr:rowOff>
    </xdr:from>
    <xdr:to>
      <xdr:col>11</xdr:col>
      <xdr:colOff>228600</xdr:colOff>
      <xdr:row>27</xdr:row>
      <xdr:rowOff>144720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1AF9CF-6141-DAEA-11A6-0E74798FF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411480</xdr:colOff>
      <xdr:row>1</xdr:row>
      <xdr:rowOff>0</xdr:rowOff>
    </xdr:from>
    <xdr:to>
      <xdr:col>21</xdr:col>
      <xdr:colOff>266700</xdr:colOff>
      <xdr:row>27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5B5777-538B-4F3E-B63F-EBFBF5B08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1310640</xdr:colOff>
      <xdr:row>9</xdr:row>
      <xdr:rowOff>0</xdr:rowOff>
    </xdr:from>
    <xdr:to>
      <xdr:col>5</xdr:col>
      <xdr:colOff>1318260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CE3117-5B1B-4A23-9AA4-A045066C09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9</xdr:row>
      <xdr:rowOff>0</xdr:rowOff>
    </xdr:from>
    <xdr:to>
      <xdr:col>2</xdr:col>
      <xdr:colOff>1135380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58F5AC-062D-490B-849C-28911059B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1</xdr:row>
      <xdr:rowOff>68580</xdr:rowOff>
    </xdr:from>
    <xdr:to>
      <xdr:col>11</xdr:col>
      <xdr:colOff>99060</xdr:colOff>
      <xdr:row>25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DFB11F-0B9E-4C3E-8B2C-E9BE154504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525780</xdr:colOff>
      <xdr:row>1</xdr:row>
      <xdr:rowOff>53340</xdr:rowOff>
    </xdr:from>
    <xdr:to>
      <xdr:col>22</xdr:col>
      <xdr:colOff>83820</xdr:colOff>
      <xdr:row>25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E41E2A-F79E-47D7-87B8-A67ADD220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ng" refreshedDate="45775.859461574073" createdVersion="8" refreshedVersion="8" minRefreshableVersion="3" recordCount="101" xr:uid="{6F21BE7D-C413-485C-B26C-EFA8391736C2}">
  <cacheSource type="worksheet">
    <worksheetSource name="Insurance"/>
  </cacheSource>
  <cacheFields count="7">
    <cacheField name="Age" numFmtId="0">
      <sharedItems containsSemiMixedTypes="0" containsString="0" containsNumber="1" containsInteger="1" minValue="21" maxValue="59"/>
    </cacheField>
    <cacheField name="Policy Term(Years)" numFmtId="0">
      <sharedItems containsSemiMixedTypes="0" containsString="0" containsNumber="1" containsInteger="1" minValue="12" maxValue="20" count="4">
        <n v="20"/>
        <n v="12"/>
        <n v="14"/>
        <n v="15"/>
      </sharedItems>
    </cacheField>
    <cacheField name="Premium Paying Term" numFmtId="0">
      <sharedItems containsSemiMixedTypes="0" containsString="0" containsNumber="1" containsInteger="1" minValue="5" maxValue="20" count="5">
        <n v="10"/>
        <n v="20"/>
        <n v="5"/>
        <n v="6"/>
        <n v="7"/>
      </sharedItems>
    </cacheField>
    <cacheField name="Amount" numFmtId="0">
      <sharedItems containsSemiMixedTypes="0" containsString="0" containsNumber="1" containsInteger="1" minValue="1500" maxValue="500000"/>
    </cacheField>
    <cacheField name="Plan" numFmtId="0">
      <sharedItems count="4">
        <s v="Nonpar"/>
        <s v="Health"/>
        <s v="ULIP"/>
        <s v="Par"/>
      </sharedItems>
    </cacheField>
    <cacheField name="Age Bucket" numFmtId="0">
      <sharedItems count="4">
        <s v="31-40"/>
        <s v="Under 30"/>
        <s v="41-49"/>
        <s v="50"/>
      </sharedItems>
    </cacheField>
    <cacheField name="Insurance Policy Amount" numFmtId="0">
      <sharedItems count="3">
        <s v="Basic"/>
        <s v="Mid"/>
        <s v="Premium"/>
      </sharedItems>
    </cacheField>
  </cacheFields>
  <extLst>
    <ext xmlns:x14="http://schemas.microsoft.com/office/spreadsheetml/2009/9/main" uri="{725AE2AE-9491-48be-B2B4-4EB974FC3084}">
      <x14:pivotCacheDefinition pivotCacheId="6279022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33"/>
    <x v="0"/>
    <x v="0"/>
    <n v="30000"/>
    <x v="0"/>
    <x v="0"/>
    <x v="0"/>
  </r>
  <r>
    <n v="27"/>
    <x v="0"/>
    <x v="0"/>
    <n v="25000"/>
    <x v="0"/>
    <x v="1"/>
    <x v="0"/>
  </r>
  <r>
    <n v="36"/>
    <x v="0"/>
    <x v="0"/>
    <n v="30000"/>
    <x v="0"/>
    <x v="0"/>
    <x v="0"/>
  </r>
  <r>
    <n v="36"/>
    <x v="0"/>
    <x v="1"/>
    <n v="2000"/>
    <x v="1"/>
    <x v="0"/>
    <x v="0"/>
  </r>
  <r>
    <n v="43"/>
    <x v="0"/>
    <x v="2"/>
    <n v="25000"/>
    <x v="0"/>
    <x v="2"/>
    <x v="0"/>
  </r>
  <r>
    <n v="40"/>
    <x v="0"/>
    <x v="0"/>
    <n v="30000"/>
    <x v="0"/>
    <x v="0"/>
    <x v="0"/>
  </r>
  <r>
    <n v="25"/>
    <x v="1"/>
    <x v="3"/>
    <n v="30000"/>
    <x v="0"/>
    <x v="1"/>
    <x v="0"/>
  </r>
  <r>
    <n v="26"/>
    <x v="0"/>
    <x v="1"/>
    <n v="1500"/>
    <x v="1"/>
    <x v="1"/>
    <x v="0"/>
  </r>
  <r>
    <n v="26"/>
    <x v="0"/>
    <x v="0"/>
    <n v="100000"/>
    <x v="0"/>
    <x v="1"/>
    <x v="1"/>
  </r>
  <r>
    <n v="46"/>
    <x v="0"/>
    <x v="0"/>
    <n v="30000"/>
    <x v="0"/>
    <x v="2"/>
    <x v="0"/>
  </r>
  <r>
    <n v="40"/>
    <x v="0"/>
    <x v="0"/>
    <n v="100000"/>
    <x v="0"/>
    <x v="0"/>
    <x v="1"/>
  </r>
  <r>
    <n v="49"/>
    <x v="0"/>
    <x v="0"/>
    <n v="30000"/>
    <x v="0"/>
    <x v="2"/>
    <x v="0"/>
  </r>
  <r>
    <n v="40"/>
    <x v="0"/>
    <x v="0"/>
    <n v="30000"/>
    <x v="0"/>
    <x v="0"/>
    <x v="0"/>
  </r>
  <r>
    <n v="43"/>
    <x v="0"/>
    <x v="0"/>
    <n v="100000"/>
    <x v="0"/>
    <x v="2"/>
    <x v="1"/>
  </r>
  <r>
    <n v="46"/>
    <x v="0"/>
    <x v="0"/>
    <n v="275000"/>
    <x v="0"/>
    <x v="2"/>
    <x v="2"/>
  </r>
  <r>
    <n v="33"/>
    <x v="0"/>
    <x v="2"/>
    <n v="30000"/>
    <x v="0"/>
    <x v="0"/>
    <x v="0"/>
  </r>
  <r>
    <n v="32"/>
    <x v="2"/>
    <x v="4"/>
    <n v="30000"/>
    <x v="0"/>
    <x v="0"/>
    <x v="0"/>
  </r>
  <r>
    <n v="38"/>
    <x v="0"/>
    <x v="0"/>
    <n v="30000"/>
    <x v="0"/>
    <x v="0"/>
    <x v="0"/>
  </r>
  <r>
    <n v="27"/>
    <x v="3"/>
    <x v="2"/>
    <n v="335000"/>
    <x v="2"/>
    <x v="1"/>
    <x v="2"/>
  </r>
  <r>
    <n v="45"/>
    <x v="3"/>
    <x v="2"/>
    <n v="40000"/>
    <x v="0"/>
    <x v="2"/>
    <x v="0"/>
  </r>
  <r>
    <n v="30"/>
    <x v="0"/>
    <x v="0"/>
    <n v="20000"/>
    <x v="0"/>
    <x v="1"/>
    <x v="0"/>
  </r>
  <r>
    <n v="46"/>
    <x v="3"/>
    <x v="0"/>
    <n v="100000"/>
    <x v="0"/>
    <x v="2"/>
    <x v="1"/>
  </r>
  <r>
    <n v="23"/>
    <x v="0"/>
    <x v="0"/>
    <n v="100000"/>
    <x v="0"/>
    <x v="1"/>
    <x v="1"/>
  </r>
  <r>
    <n v="43"/>
    <x v="3"/>
    <x v="2"/>
    <n v="200000"/>
    <x v="2"/>
    <x v="2"/>
    <x v="2"/>
  </r>
  <r>
    <n v="35"/>
    <x v="0"/>
    <x v="0"/>
    <n v="100000"/>
    <x v="0"/>
    <x v="0"/>
    <x v="1"/>
  </r>
  <r>
    <n v="36"/>
    <x v="3"/>
    <x v="4"/>
    <n v="100000"/>
    <x v="3"/>
    <x v="0"/>
    <x v="1"/>
  </r>
  <r>
    <n v="37"/>
    <x v="3"/>
    <x v="4"/>
    <n v="75000"/>
    <x v="3"/>
    <x v="0"/>
    <x v="1"/>
  </r>
  <r>
    <n v="42"/>
    <x v="3"/>
    <x v="2"/>
    <n v="250000"/>
    <x v="2"/>
    <x v="2"/>
    <x v="2"/>
  </r>
  <r>
    <n v="26"/>
    <x v="0"/>
    <x v="0"/>
    <n v="100000"/>
    <x v="0"/>
    <x v="1"/>
    <x v="1"/>
  </r>
  <r>
    <n v="32"/>
    <x v="0"/>
    <x v="0"/>
    <n v="100000"/>
    <x v="0"/>
    <x v="0"/>
    <x v="1"/>
  </r>
  <r>
    <n v="34"/>
    <x v="3"/>
    <x v="4"/>
    <n v="50000"/>
    <x v="3"/>
    <x v="0"/>
    <x v="0"/>
  </r>
  <r>
    <n v="25"/>
    <x v="3"/>
    <x v="4"/>
    <n v="75000"/>
    <x v="3"/>
    <x v="1"/>
    <x v="1"/>
  </r>
  <r>
    <n v="29"/>
    <x v="0"/>
    <x v="0"/>
    <n v="50000"/>
    <x v="0"/>
    <x v="1"/>
    <x v="0"/>
  </r>
  <r>
    <n v="34"/>
    <x v="3"/>
    <x v="4"/>
    <n v="75000"/>
    <x v="3"/>
    <x v="0"/>
    <x v="1"/>
  </r>
  <r>
    <n v="26"/>
    <x v="0"/>
    <x v="0"/>
    <n v="30000"/>
    <x v="0"/>
    <x v="1"/>
    <x v="0"/>
  </r>
  <r>
    <n v="23"/>
    <x v="0"/>
    <x v="0"/>
    <n v="20000"/>
    <x v="0"/>
    <x v="1"/>
    <x v="0"/>
  </r>
  <r>
    <n v="28"/>
    <x v="0"/>
    <x v="0"/>
    <n v="25000"/>
    <x v="0"/>
    <x v="1"/>
    <x v="0"/>
  </r>
  <r>
    <n v="24"/>
    <x v="0"/>
    <x v="0"/>
    <n v="20000"/>
    <x v="0"/>
    <x v="1"/>
    <x v="0"/>
  </r>
  <r>
    <n v="30"/>
    <x v="3"/>
    <x v="2"/>
    <n v="500000"/>
    <x v="2"/>
    <x v="1"/>
    <x v="2"/>
  </r>
  <r>
    <n v="44"/>
    <x v="3"/>
    <x v="2"/>
    <n v="150000"/>
    <x v="2"/>
    <x v="2"/>
    <x v="1"/>
  </r>
  <r>
    <n v="45"/>
    <x v="3"/>
    <x v="2"/>
    <n v="200000"/>
    <x v="2"/>
    <x v="2"/>
    <x v="2"/>
  </r>
  <r>
    <n v="23"/>
    <x v="0"/>
    <x v="0"/>
    <n v="100000"/>
    <x v="0"/>
    <x v="1"/>
    <x v="1"/>
  </r>
  <r>
    <n v="35"/>
    <x v="3"/>
    <x v="4"/>
    <n v="50000"/>
    <x v="3"/>
    <x v="0"/>
    <x v="0"/>
  </r>
  <r>
    <n v="26"/>
    <x v="0"/>
    <x v="0"/>
    <n v="100000"/>
    <x v="0"/>
    <x v="1"/>
    <x v="1"/>
  </r>
  <r>
    <n v="34"/>
    <x v="0"/>
    <x v="0"/>
    <n v="50000"/>
    <x v="0"/>
    <x v="0"/>
    <x v="0"/>
  </r>
  <r>
    <n v="31"/>
    <x v="0"/>
    <x v="0"/>
    <n v="75000"/>
    <x v="0"/>
    <x v="0"/>
    <x v="1"/>
  </r>
  <r>
    <n v="31"/>
    <x v="0"/>
    <x v="0"/>
    <n v="150000"/>
    <x v="0"/>
    <x v="0"/>
    <x v="1"/>
  </r>
  <r>
    <n v="30"/>
    <x v="0"/>
    <x v="0"/>
    <n v="50000"/>
    <x v="0"/>
    <x v="1"/>
    <x v="0"/>
  </r>
  <r>
    <n v="33"/>
    <x v="0"/>
    <x v="0"/>
    <n v="50000"/>
    <x v="0"/>
    <x v="0"/>
    <x v="0"/>
  </r>
  <r>
    <n v="38"/>
    <x v="3"/>
    <x v="0"/>
    <n v="100000"/>
    <x v="0"/>
    <x v="0"/>
    <x v="1"/>
  </r>
  <r>
    <n v="44"/>
    <x v="3"/>
    <x v="0"/>
    <n v="100000"/>
    <x v="0"/>
    <x v="2"/>
    <x v="1"/>
  </r>
  <r>
    <n v="26"/>
    <x v="3"/>
    <x v="4"/>
    <n v="60000"/>
    <x v="3"/>
    <x v="1"/>
    <x v="1"/>
  </r>
  <r>
    <n v="38"/>
    <x v="3"/>
    <x v="0"/>
    <n v="50000"/>
    <x v="0"/>
    <x v="0"/>
    <x v="0"/>
  </r>
  <r>
    <n v="43"/>
    <x v="3"/>
    <x v="0"/>
    <n v="100000"/>
    <x v="0"/>
    <x v="2"/>
    <x v="1"/>
  </r>
  <r>
    <n v="59"/>
    <x v="3"/>
    <x v="2"/>
    <n v="350000"/>
    <x v="2"/>
    <x v="3"/>
    <x v="2"/>
  </r>
  <r>
    <n v="33"/>
    <x v="0"/>
    <x v="0"/>
    <n v="200000"/>
    <x v="0"/>
    <x v="0"/>
    <x v="2"/>
  </r>
  <r>
    <n v="31"/>
    <x v="3"/>
    <x v="2"/>
    <n v="500000"/>
    <x v="2"/>
    <x v="0"/>
    <x v="2"/>
  </r>
  <r>
    <n v="24"/>
    <x v="0"/>
    <x v="0"/>
    <n v="20000"/>
    <x v="0"/>
    <x v="1"/>
    <x v="0"/>
  </r>
  <r>
    <n v="25"/>
    <x v="3"/>
    <x v="2"/>
    <n v="300000"/>
    <x v="2"/>
    <x v="1"/>
    <x v="2"/>
  </r>
  <r>
    <n v="26"/>
    <x v="0"/>
    <x v="0"/>
    <n v="30000"/>
    <x v="0"/>
    <x v="1"/>
    <x v="0"/>
  </r>
  <r>
    <n v="33"/>
    <x v="0"/>
    <x v="0"/>
    <n v="50000"/>
    <x v="0"/>
    <x v="0"/>
    <x v="0"/>
  </r>
  <r>
    <n v="31"/>
    <x v="0"/>
    <x v="0"/>
    <n v="60000"/>
    <x v="0"/>
    <x v="0"/>
    <x v="1"/>
  </r>
  <r>
    <n v="25"/>
    <x v="0"/>
    <x v="0"/>
    <n v="75000"/>
    <x v="0"/>
    <x v="1"/>
    <x v="1"/>
  </r>
  <r>
    <n v="44"/>
    <x v="3"/>
    <x v="2"/>
    <n v="200000"/>
    <x v="2"/>
    <x v="2"/>
    <x v="2"/>
  </r>
  <r>
    <n v="41"/>
    <x v="3"/>
    <x v="2"/>
    <n v="500000"/>
    <x v="2"/>
    <x v="2"/>
    <x v="2"/>
  </r>
  <r>
    <n v="40"/>
    <x v="3"/>
    <x v="0"/>
    <n v="100000"/>
    <x v="0"/>
    <x v="0"/>
    <x v="1"/>
  </r>
  <r>
    <n v="21"/>
    <x v="0"/>
    <x v="0"/>
    <n v="50000"/>
    <x v="0"/>
    <x v="1"/>
    <x v="0"/>
  </r>
  <r>
    <n v="22"/>
    <x v="0"/>
    <x v="0"/>
    <n v="30000"/>
    <x v="0"/>
    <x v="1"/>
    <x v="0"/>
  </r>
  <r>
    <n v="28"/>
    <x v="3"/>
    <x v="4"/>
    <n v="65000"/>
    <x v="3"/>
    <x v="1"/>
    <x v="1"/>
  </r>
  <r>
    <n v="33"/>
    <x v="0"/>
    <x v="0"/>
    <n v="30000"/>
    <x v="0"/>
    <x v="0"/>
    <x v="0"/>
  </r>
  <r>
    <n v="30"/>
    <x v="3"/>
    <x v="2"/>
    <n v="175000"/>
    <x v="2"/>
    <x v="1"/>
    <x v="1"/>
  </r>
  <r>
    <n v="32"/>
    <x v="0"/>
    <x v="0"/>
    <n v="50000"/>
    <x v="0"/>
    <x v="0"/>
    <x v="0"/>
  </r>
  <r>
    <n v="22"/>
    <x v="0"/>
    <x v="0"/>
    <n v="40000"/>
    <x v="0"/>
    <x v="1"/>
    <x v="0"/>
  </r>
  <r>
    <n v="36"/>
    <x v="3"/>
    <x v="2"/>
    <n v="200000"/>
    <x v="2"/>
    <x v="0"/>
    <x v="2"/>
  </r>
  <r>
    <n v="36"/>
    <x v="3"/>
    <x v="2"/>
    <n v="400000"/>
    <x v="2"/>
    <x v="0"/>
    <x v="2"/>
  </r>
  <r>
    <n v="32"/>
    <x v="3"/>
    <x v="2"/>
    <n v="300000"/>
    <x v="2"/>
    <x v="0"/>
    <x v="2"/>
  </r>
  <r>
    <n v="45"/>
    <x v="3"/>
    <x v="2"/>
    <n v="200000"/>
    <x v="2"/>
    <x v="2"/>
    <x v="2"/>
  </r>
  <r>
    <n v="44"/>
    <x v="3"/>
    <x v="4"/>
    <n v="60000"/>
    <x v="3"/>
    <x v="2"/>
    <x v="1"/>
  </r>
  <r>
    <n v="21"/>
    <x v="3"/>
    <x v="2"/>
    <n v="100000"/>
    <x v="2"/>
    <x v="1"/>
    <x v="1"/>
  </r>
  <r>
    <n v="29"/>
    <x v="0"/>
    <x v="0"/>
    <n v="100000"/>
    <x v="0"/>
    <x v="1"/>
    <x v="1"/>
  </r>
  <r>
    <n v="29"/>
    <x v="3"/>
    <x v="4"/>
    <n v="60000"/>
    <x v="3"/>
    <x v="1"/>
    <x v="1"/>
  </r>
  <r>
    <n v="32"/>
    <x v="0"/>
    <x v="0"/>
    <n v="25000"/>
    <x v="0"/>
    <x v="0"/>
    <x v="0"/>
  </r>
  <r>
    <n v="33"/>
    <x v="0"/>
    <x v="0"/>
    <n v="35000"/>
    <x v="0"/>
    <x v="0"/>
    <x v="0"/>
  </r>
  <r>
    <n v="25"/>
    <x v="0"/>
    <x v="0"/>
    <n v="30000"/>
    <x v="0"/>
    <x v="1"/>
    <x v="0"/>
  </r>
  <r>
    <n v="21"/>
    <x v="0"/>
    <x v="0"/>
    <n v="50000"/>
    <x v="0"/>
    <x v="1"/>
    <x v="0"/>
  </r>
  <r>
    <n v="46"/>
    <x v="3"/>
    <x v="2"/>
    <n v="500000"/>
    <x v="2"/>
    <x v="2"/>
    <x v="2"/>
  </r>
  <r>
    <n v="34"/>
    <x v="0"/>
    <x v="0"/>
    <n v="50000"/>
    <x v="0"/>
    <x v="0"/>
    <x v="0"/>
  </r>
  <r>
    <n v="34"/>
    <x v="0"/>
    <x v="0"/>
    <n v="30000"/>
    <x v="0"/>
    <x v="0"/>
    <x v="0"/>
  </r>
  <r>
    <n v="32"/>
    <x v="0"/>
    <x v="0"/>
    <n v="20000"/>
    <x v="0"/>
    <x v="0"/>
    <x v="0"/>
  </r>
  <r>
    <n v="25"/>
    <x v="0"/>
    <x v="0"/>
    <n v="50000"/>
    <x v="0"/>
    <x v="1"/>
    <x v="0"/>
  </r>
  <r>
    <n v="26"/>
    <x v="0"/>
    <x v="0"/>
    <n v="50000"/>
    <x v="0"/>
    <x v="1"/>
    <x v="0"/>
  </r>
  <r>
    <n v="35"/>
    <x v="0"/>
    <x v="0"/>
    <n v="50000"/>
    <x v="0"/>
    <x v="0"/>
    <x v="0"/>
  </r>
  <r>
    <n v="44"/>
    <x v="3"/>
    <x v="2"/>
    <n v="200000"/>
    <x v="2"/>
    <x v="2"/>
    <x v="2"/>
  </r>
  <r>
    <n v="41"/>
    <x v="3"/>
    <x v="2"/>
    <n v="250000"/>
    <x v="2"/>
    <x v="2"/>
    <x v="2"/>
  </r>
  <r>
    <n v="35"/>
    <x v="0"/>
    <x v="0"/>
    <n v="50000"/>
    <x v="0"/>
    <x v="0"/>
    <x v="0"/>
  </r>
  <r>
    <n v="41"/>
    <x v="3"/>
    <x v="0"/>
    <n v="50000"/>
    <x v="0"/>
    <x v="2"/>
    <x v="0"/>
  </r>
  <r>
    <n v="45"/>
    <x v="3"/>
    <x v="2"/>
    <n v="300000"/>
    <x v="2"/>
    <x v="2"/>
    <x v="2"/>
  </r>
  <r>
    <n v="26"/>
    <x v="0"/>
    <x v="0"/>
    <n v="20000"/>
    <x v="0"/>
    <x v="1"/>
    <x v="0"/>
  </r>
  <r>
    <n v="26"/>
    <x v="0"/>
    <x v="0"/>
    <n v="50000"/>
    <x v="0"/>
    <x v="1"/>
    <x v="0"/>
  </r>
  <r>
    <n v="25"/>
    <x v="0"/>
    <x v="0"/>
    <n v="30000"/>
    <x v="0"/>
    <x v="1"/>
    <x v="0"/>
  </r>
  <r>
    <n v="27"/>
    <x v="3"/>
    <x v="0"/>
    <n v="40000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F6727-F678-4E39-969D-C16D09C6276E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 rowHeaderCaption="Plan">
  <location ref="D5:E9" firstHeaderRow="1" firstDataRow="1" firstDataCol="1"/>
  <pivotFields count="7">
    <pivotField showAll="0"/>
    <pivotField showAll="0"/>
    <pivotField dataField="1"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Premium Paying Term" fld="2" subtotal="average" baseField="4" baseItem="0" numFmtId="4"/>
  </dataFields>
  <formats count="7"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4" type="button" dataOnly="0" labelOnly="1" outline="0" axis="axisRow" fieldPosition="0"/>
    </format>
    <format dxfId="99">
      <pivotArea dataOnly="0" labelOnly="1" fieldPosition="0">
        <references count="1">
          <reference field="4" count="0"/>
        </references>
      </pivotArea>
    </format>
    <format dxfId="98">
      <pivotArea dataOnly="0" labelOnly="1" grandRow="1" outline="0" fieldPosition="0"/>
    </format>
    <format dxfId="97">
      <pivotArea dataOnly="0" labelOnly="1" outline="0" axis="axisValues" fieldPosition="0"/>
    </format>
    <format dxfId="9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88492-5F43-4865-AB35-B0803D7D6976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 rowHeaderCaption="Plan">
  <location ref="A5:B9" firstHeaderRow="1" firstDataRow="1" firstDataCol="1"/>
  <pivotFields count="7">
    <pivotField showAll="0"/>
    <pivotField dataField="1"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Policy Term(Years)" fld="1" subtotal="average" baseField="4" baseItem="0" numFmtId="4"/>
  </dataFields>
  <formats count="7"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4" type="button" dataOnly="0" labelOnly="1" outline="0" axis="axisRow" fieldPosition="0"/>
    </format>
    <format dxfId="106">
      <pivotArea dataOnly="0" labelOnly="1" fieldPosition="0">
        <references count="1">
          <reference field="4" count="0"/>
        </references>
      </pivotArea>
    </format>
    <format dxfId="105">
      <pivotArea dataOnly="0" labelOnly="1" grandRow="1" outline="0" fieldPosition="0"/>
    </format>
    <format dxfId="104">
      <pivotArea dataOnly="0" labelOnly="1" outline="0" axis="axisValues" fieldPosition="0"/>
    </format>
    <format dxfId="10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E0E18-2EDC-4395-B09B-B6CB46BB225D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20:B25" firstHeaderRow="1" firstDataRow="1" firstDataCol="1"/>
  <pivotFields count="7">
    <pivotField compact="0" outline="0" showAll="0" defaultSubtotal="0"/>
    <pivotField compact="0" outline="0" showAll="0" defaultSubtotal="0"/>
    <pivotField axis="axisRow" dataField="1" compact="0" outline="0" showAll="0" defaultSubtotal="0">
      <items count="5">
        <item x="2"/>
        <item x="3"/>
        <item x="4"/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>
      <items count="4">
        <item x="0"/>
        <item x="2"/>
        <item x="3"/>
        <item x="1"/>
      </items>
    </pivotField>
    <pivotField compact="0" outline="0" showAll="0" defaultSubtota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Premium Paying Term" fld="2" subtotal="count" showDataAs="percentOfTotal" baseField="2" baseItem="2" numFmtId="10"/>
  </dataFields>
  <formats count="13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5" type="button" dataOnly="0" labelOnly="1" outline="0"/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field="5" type="button" dataOnly="0" labelOnly="1" outline="0"/>
    </format>
    <format dxfId="8">
      <pivotArea outline="0" fieldPosition="0">
        <references count="1">
          <reference field="4294967294" count="1">
            <x v="0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2" type="button" dataOnly="0" labelOnly="1" outline="0" axis="axisRow" fieldPosition="0"/>
    </format>
    <format dxfId="4">
      <pivotArea dataOnly="0" labelOnly="1" outline="0" fieldPosition="0">
        <references count="1">
          <reference field="2" count="0"/>
        </references>
      </pivotArea>
    </format>
    <format dxfId="3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A1076-74FA-494A-A30A-AD74F17C80FE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D2:H6" firstHeaderRow="1" firstDataRow="2" firstDataCol="1"/>
  <pivotFields count="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4">
        <item x="0"/>
        <item x="2"/>
        <item x="3"/>
        <item x="1"/>
      </items>
    </pivotField>
    <pivotField axis="axisRow" dataField="1" compact="0" outline="0" showAll="0" defaultSubtotal="0">
      <items count="3">
        <item x="0"/>
        <item x="1"/>
        <item x="2"/>
      </items>
    </pivotField>
  </pivotFields>
  <rowFields count="1">
    <field x="6"/>
  </rowFields>
  <rowItems count="3">
    <i>
      <x/>
    </i>
    <i>
      <x v="1"/>
    </i>
    <i>
      <x v="2"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Count of Insurance Policy Amount" fld="6" subtotal="count" showDataAs="percentOfTotal" baseField="0" baseItem="0" numFmtId="10"/>
  </dataFields>
  <formats count="15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5" type="button" dataOnly="0" labelOnly="1" outline="0" axis="axisCol" fieldPosition="0"/>
    </format>
    <format dxfId="27">
      <pivotArea dataOnly="0" labelOnly="1" outline="0" fieldPosition="0">
        <references count="1">
          <reference field="5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24">
      <pivotArea outline="0" fieldPosition="0">
        <references count="1">
          <reference field="4294967294" count="1">
            <x v="0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5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6" type="button" dataOnly="0" labelOnly="1" outline="0" axis="axisRow" fieldPosition="0"/>
    </format>
    <format dxfId="17">
      <pivotArea dataOnly="0" labelOnly="1" outline="0" fieldPosition="0">
        <references count="1">
          <reference field="6" count="0"/>
        </references>
      </pivotArea>
    </format>
    <format dxfId="16">
      <pivotArea dataOnly="0" labelOnly="1" outline="0" fieldPosition="0">
        <references count="1">
          <reference field="5" count="0"/>
        </references>
      </pivotArea>
    </format>
  </format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60EB1-F6F1-4124-8AF3-0495525CD79B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13:B17" firstHeaderRow="1" firstDataRow="1" firstDataCol="1"/>
  <pivotFields count="7"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Plan" fld="4" subtotal="count" showDataAs="percentOfTotal" baseField="0" baseItem="0" numFmtId="10"/>
  </dataFields>
  <formats count="12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4" type="button" dataOnly="0" labelOnly="1" outline="0" axis="axisRow" fieldPosition="0"/>
    </format>
    <format dxfId="39">
      <pivotArea dataOnly="0" labelOnly="1" outline="0" fieldPosition="0">
        <references count="1">
          <reference field="4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outline="0" fieldPosition="0">
        <references count="1">
          <reference field="4294967294" count="1">
            <x v="0"/>
          </reference>
        </references>
      </pivotArea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4" type="button" dataOnly="0" labelOnly="1" outline="0" axis="axisRow" fieldPosition="0"/>
    </format>
    <format dxfId="32">
      <pivotArea dataOnly="0" labelOnly="1" outline="0" fieldPosition="0">
        <references count="1">
          <reference field="4" count="0"/>
        </references>
      </pivotArea>
    </format>
    <format dxfId="31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916A7-3DB3-4AD0-8A1D-46F26007BCA1}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J14:K18" firstHeaderRow="1" firstDataRow="1" firstDataCol="1"/>
  <pivotFields count="7">
    <pivotField compact="0" outline="0" showAll="0" defaultSubtotal="0"/>
    <pivotField axis="axisRow" dataField="1" compact="0" outline="0" showAll="0" defaultSubtotal="0">
      <items count="4">
        <item x="1"/>
        <item x="2"/>
        <item x="3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4">
        <item x="0"/>
        <item x="2"/>
        <item x="3"/>
        <item x="1"/>
      </items>
    </pivotField>
    <pivotField compact="0" outline="0" showAll="0" defaultSubtota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Policy Term(Years)" fld="1" subtotal="count" showDataAs="percentOfTotal" baseField="1" baseItem="0" numFmtId="10"/>
  </dataFields>
  <formats count="13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5" type="button" dataOnly="0" labelOnly="1" outline="0"/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field="5" type="button" dataOnly="0" labelOnly="1" outline="0"/>
    </format>
    <format dxfId="48">
      <pivotArea outline="0" fieldPosition="0">
        <references count="1">
          <reference field="4294967294" count="1">
            <x v="0"/>
          </reference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" type="button" dataOnly="0" labelOnly="1" outline="0" axis="axisRow" fieldPosition="0"/>
    </format>
    <format dxfId="44">
      <pivotArea dataOnly="0" labelOnly="1" outline="0" fieldPosition="0">
        <references count="1">
          <reference field="1" count="0"/>
        </references>
      </pivotArea>
    </format>
    <format dxfId="43">
      <pivotArea dataOnly="0" labelOnly="1" outline="0" axis="axisValues" fieldPosition="0"/>
    </format>
  </format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09560-E30F-4047-8F5C-56CEA6B8DCC7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E13:F16" firstHeaderRow="1" firstDataRow="1" firstDataCol="1"/>
  <pivotFields count="7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axis="axisRow" dataField="1" compact="0" outline="0" showAll="0">
      <items count="4">
        <item x="0"/>
        <item x="1"/>
        <item x="2"/>
        <item t="default"/>
      </items>
    </pivotField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Count of Insurance Policy Amount" fld="6" subtotal="count" showDataAs="percentOfTotal" baseField="0" baseItem="0" numFmtId="10"/>
  </dataFields>
  <formats count="11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4" type="button" dataOnly="0" labelOnly="1" outline="0"/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61">
      <pivotArea outline="0" fieldPosition="0">
        <references count="1">
          <reference field="4294967294" count="1">
            <x v="0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6" type="button" dataOnly="0" labelOnly="1" outline="0" axis="axisRow" fieldPosition="0"/>
    </format>
    <format dxfId="57">
      <pivotArea dataOnly="0" labelOnly="1" outline="0" fieldPosition="0">
        <references count="1">
          <reference field="6" count="0"/>
        </references>
      </pivotArea>
    </format>
    <format dxfId="56">
      <pivotArea dataOnly="0" labelOnly="1" outline="0" axis="axisValues" fieldPosition="0"/>
    </format>
  </format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2D46F-342A-4AE6-B8F1-7F3F64583C40}" name="Age Bucke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2:B6" firstHeaderRow="1" firstDataRow="1" firstDataCol="1"/>
  <pivotFields count="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dataField="1" compact="0" outline="0" showAll="0" defaultSubtotal="0">
      <items count="4">
        <item x="0"/>
        <item x="2"/>
        <item x="3"/>
        <item x="1"/>
      </items>
    </pivotField>
    <pivotField compact="0" outline="0" showAll="0" defaultSubtotal="0"/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Total(%)" fld="5" subtotal="count" showDataAs="percentOfTotal" baseField="0" baseItem="0" numFmtId="10"/>
  </dataFields>
  <formats count="12"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5" type="button" dataOnly="0" labelOnly="1" outline="0" axis="axisRow" fieldPosition="0"/>
    </format>
    <format dxfId="75">
      <pivotArea dataOnly="0" labelOnly="1" outline="0" fieldPosition="0">
        <references count="1">
          <reference field="5" count="0"/>
        </references>
      </pivotArea>
    </format>
    <format dxfId="74">
      <pivotArea dataOnly="0" labelOnly="1" grandRow="1" outline="0" fieldPosition="0"/>
    </format>
    <format dxfId="73">
      <pivotArea dataOnly="0" labelOnly="1" outline="0" axis="axisValues" fieldPosition="0"/>
    </format>
    <format dxfId="72">
      <pivotArea outline="0" fieldPosition="0">
        <references count="1">
          <reference field="4294967294" count="1">
            <x v="0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5" type="button" dataOnly="0" labelOnly="1" outline="0" axis="axisRow" fieldPosition="0"/>
    </format>
    <format dxfId="68">
      <pivotArea dataOnly="0" labelOnly="1" outline="0" fieldPosition="0">
        <references count="1">
          <reference field="5" count="0"/>
        </references>
      </pivotArea>
    </format>
    <format dxfId="67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FB0FF-C711-42E5-A071-A3AA21FF01F1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J2:N7" firstHeaderRow="1" firstDataRow="2" firstDataCol="1"/>
  <pivotFields count="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dataField="1" compact="0" outline="0" showAll="0" defaultSubtotal="0">
      <items count="4">
        <item x="1"/>
        <item x="0"/>
        <item x="3"/>
        <item x="2"/>
      </items>
    </pivotField>
    <pivotField axis="axisCol" compact="0" outline="0" showAll="0" defaultSubtotal="0">
      <items count="4">
        <item x="0"/>
        <item x="2"/>
        <item x="3"/>
        <item x="1"/>
      </items>
    </pivotField>
    <pivotField compact="0" outline="0" showAll="0" defaultSubtotal="0"/>
  </pivotFields>
  <rowFields count="1">
    <field x="4"/>
  </rowFields>
  <rowItems count="4">
    <i>
      <x/>
    </i>
    <i>
      <x v="1"/>
    </i>
    <i>
      <x v="2"/>
    </i>
    <i>
      <x v="3"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Count of Plan" fld="4" subtotal="count" showDataAs="percentOfTotal" baseField="0" baseItem="0" numFmtId="10"/>
  </dataFields>
  <formats count="17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5" type="button" dataOnly="0" labelOnly="1" outline="0" axis="axisCol" fieldPosition="0"/>
    </format>
    <format dxfId="92">
      <pivotArea dataOnly="0" labelOnly="1" outline="0" fieldPosition="0">
        <references count="1">
          <reference field="5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  <format dxfId="89">
      <pivotArea type="all" dataOnly="0" outline="0" fieldPosition="0"/>
    </format>
    <format dxfId="88">
      <pivotArea dataOnly="0" labelOnly="1" outline="0" axis="axisValues" fieldPosition="0"/>
    </format>
    <format dxfId="87">
      <pivotArea outline="0" fieldPosition="0">
        <references count="1">
          <reference field="4294967294" count="1">
            <x v="0"/>
          </reference>
        </references>
      </pivotArea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type="origin" dataOnly="0" labelOnly="1" outline="0" fieldPosition="0"/>
    </format>
    <format dxfId="83">
      <pivotArea field="5" type="button" dataOnly="0" labelOnly="1" outline="0" axis="axisCol" fieldPosition="0"/>
    </format>
    <format dxfId="82">
      <pivotArea type="topRight" dataOnly="0" labelOnly="1" outline="0" fieldPosition="0"/>
    </format>
    <format dxfId="81">
      <pivotArea field="4" type="button" dataOnly="0" labelOnly="1" outline="0" axis="axisRow" fieldPosition="0"/>
    </format>
    <format dxfId="80">
      <pivotArea dataOnly="0" labelOnly="1" outline="0" fieldPosition="0">
        <references count="1">
          <reference field="4" count="0"/>
        </references>
      </pivotArea>
    </format>
    <format dxfId="79">
      <pivotArea dataOnly="0" labelOnly="1" outline="0" fieldPosition="0">
        <references count="1">
          <reference field="5" count="0"/>
        </references>
      </pivotArea>
    </format>
  </formats>
  <chartFormats count="1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30C102-BF21-448C-A56A-B776EF45F5BF}" autoFormatId="16" applyNumberFormats="0" applyBorderFormats="0" applyFontFormats="0" applyPatternFormats="0" applyAlignmentFormats="0" applyWidthHeightFormats="0">
  <queryTableRefresh nextId="13">
    <queryTableFields count="7">
      <queryTableField id="1" name="Age" tableColumnId="1"/>
      <queryTableField id="7" name="Policy Term(Years)" tableColumnId="2"/>
      <queryTableField id="8" name="Premium Paying Term" tableColumnId="3"/>
      <queryTableField id="4" name="Amount" tableColumnId="4"/>
      <queryTableField id="5" name="Plan" tableColumnId="5"/>
      <queryTableField id="6" name="Age Bucket" tableColumnId="6"/>
      <queryTableField id="12" name="Insurance Policy 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3EA501-AFBC-43B0-8612-696B4962E827}" name="Insurance" displayName="Insurance" ref="A1:G102" tableType="queryTable" totalsRowShown="0">
  <autoFilter ref="A1:G102" xr:uid="{DC3EA501-AFBC-43B0-8612-696B4962E827}"/>
  <tableColumns count="7">
    <tableColumn id="1" xr3:uid="{61488034-7800-4B9C-B7B8-BDFD530EAB41}" uniqueName="1" name="Age" queryTableFieldId="1"/>
    <tableColumn id="2" xr3:uid="{EA26FC53-33CE-437B-A63F-0834D0288213}" uniqueName="2" name="Policy Term(Years)" queryTableFieldId="7"/>
    <tableColumn id="3" xr3:uid="{565DEED7-1534-4069-B79A-695DCE866A9E}" uniqueName="3" name="Premium Paying Term" queryTableFieldId="8"/>
    <tableColumn id="4" xr3:uid="{47A94B2C-2357-4374-8418-231761C04245}" uniqueName="4" name="Amount" queryTableFieldId="4"/>
    <tableColumn id="5" xr3:uid="{67ADBDA2-9F3A-4E53-A35B-617C91BC13E4}" uniqueName="5" name="Plan" queryTableFieldId="5" dataDxfId="2"/>
    <tableColumn id="6" xr3:uid="{B69CA26E-517E-47EB-B7A7-7FD860108836}" uniqueName="6" name="Age Bucket" queryTableFieldId="6" dataDxfId="1"/>
    <tableColumn id="8" xr3:uid="{098D77E0-F075-48BE-B28D-AAB172926692}" uniqueName="8" name="Insurance Policy Amount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5"/>
  <sheetViews>
    <sheetView showGridLines="0" tabSelected="1" workbookViewId="0">
      <selection activeCell="C4" sqref="C4"/>
    </sheetView>
  </sheetViews>
  <sheetFormatPr defaultRowHeight="14.4" x14ac:dyDescent="0.3"/>
  <cols>
    <col min="1" max="1" width="20.5546875" bestFit="1" customWidth="1"/>
  </cols>
  <sheetData>
    <row r="1" spans="1:1" x14ac:dyDescent="0.3">
      <c r="A1" s="9" t="s">
        <v>37</v>
      </c>
    </row>
    <row r="2" spans="1:1" x14ac:dyDescent="0.3">
      <c r="A2" s="12" t="s">
        <v>25</v>
      </c>
    </row>
    <row r="3" spans="1:1" x14ac:dyDescent="0.3">
      <c r="A3" s="12" t="s">
        <v>24</v>
      </c>
    </row>
    <row r="4" spans="1:1" x14ac:dyDescent="0.3">
      <c r="A4" s="12" t="s">
        <v>27</v>
      </c>
    </row>
    <row r="5" spans="1:1" x14ac:dyDescent="0.3">
      <c r="A5" s="12" t="s">
        <v>28</v>
      </c>
    </row>
  </sheetData>
  <hyperlinks>
    <hyperlink ref="A2" location="'Demographic Insights'!A1" display="1) Demographic Insights" xr:uid="{8BC63528-E815-41F2-A35B-AE580791CC2E}"/>
    <hyperlink ref="A3" location="'Demographic Insights'!A1" display="2) Policy Characteristics" xr:uid="{79668EFF-AAEB-4098-95FE-7F602006F8D3}"/>
    <hyperlink ref="A4" location="'Plan Analysis'!A1" display="3) Plan Analysis" xr:uid="{460FDFC1-9BF8-46D1-8FE0-7FC6C44E3F97}"/>
    <hyperlink ref="A5" location="Recommendation!A1" display="4) Recommendations" xr:uid="{EFD8D74F-075D-4B52-B5A5-66633A89F24F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032B-FCA7-458F-8C37-BC26C06FC93E}">
  <sheetPr>
    <tabColor rgb="FF92D050"/>
    <pageSetUpPr fitToPage="1"/>
  </sheetPr>
  <dimension ref="A1:V2"/>
  <sheetViews>
    <sheetView showGridLines="0" workbookViewId="0">
      <selection sqref="A1:V1"/>
    </sheetView>
  </sheetViews>
  <sheetFormatPr defaultRowHeight="14.4" x14ac:dyDescent="0.3"/>
  <cols>
    <col min="1" max="1" width="12.6640625" bestFit="1" customWidth="1"/>
    <col min="2" max="2" width="18.44140625" bestFit="1" customWidth="1"/>
    <col min="3" max="3" width="7" bestFit="1" customWidth="1"/>
    <col min="4" max="4" width="6" bestFit="1" customWidth="1"/>
    <col min="5" max="5" width="8.6640625" bestFit="1" customWidth="1"/>
    <col min="8" max="8" width="14.5546875" bestFit="1" customWidth="1"/>
  </cols>
  <sheetData>
    <row r="1" spans="1:22" s="4" customFormat="1" ht="25.2" x14ac:dyDescent="0.6">
      <c r="A1" s="16" t="s">
        <v>22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x14ac:dyDescent="0.3">
      <c r="I2" s="5"/>
      <c r="J2" s="5"/>
    </row>
  </sheetData>
  <mergeCells count="1">
    <mergeCell ref="A1:V1"/>
  </mergeCells>
  <pageMargins left="0.25" right="0.25" top="0.75" bottom="0.75" header="0.3" footer="0.3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1CF4-EF6E-41F3-B0F9-84E893360AD1}">
  <sheetPr>
    <tabColor rgb="FF92D050"/>
  </sheetPr>
  <dimension ref="A1:W9"/>
  <sheetViews>
    <sheetView showGridLines="0" workbookViewId="0">
      <selection activeCell="D3" sqref="D3"/>
    </sheetView>
  </sheetViews>
  <sheetFormatPr defaultRowHeight="14.4" x14ac:dyDescent="0.3"/>
  <cols>
    <col min="1" max="1" width="42.21875" bestFit="1" customWidth="1"/>
    <col min="2" max="2" width="26.5546875" bestFit="1" customWidth="1"/>
    <col min="3" max="3" width="29.6640625" bestFit="1" customWidth="1"/>
    <col min="4" max="4" width="35.21875" bestFit="1" customWidth="1"/>
    <col min="5" max="5" width="29.6640625" bestFit="1" customWidth="1"/>
    <col min="6" max="6" width="26.5546875" bestFit="1" customWidth="1"/>
    <col min="7" max="7" width="26.44140625" bestFit="1" customWidth="1"/>
    <col min="8" max="8" width="23.33203125" bestFit="1" customWidth="1"/>
  </cols>
  <sheetData>
    <row r="1" spans="1:23" ht="25.2" x14ac:dyDescent="0.6">
      <c r="A1" s="17" t="s">
        <v>39</v>
      </c>
      <c r="B1" s="17"/>
      <c r="C1" s="17"/>
      <c r="D1" s="17"/>
      <c r="E1" s="17"/>
      <c r="F1" s="1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3">
      <c r="A2" s="10" t="s">
        <v>40</v>
      </c>
      <c r="B2" s="11">
        <f>SUBTOTAL(1,Master_Data!B:B)</f>
        <v>17.91</v>
      </c>
      <c r="D2" s="7" t="s">
        <v>26</v>
      </c>
      <c r="E2" s="8">
        <f>SUBTOTAL(1,Master_Data!C:C)</f>
        <v>8.6300000000000008</v>
      </c>
    </row>
    <row r="3" spans="1:23" x14ac:dyDescent="0.3">
      <c r="A3" s="7" t="s">
        <v>33</v>
      </c>
      <c r="B3" s="15">
        <f>CORREL(Master_Data!B:B,Master_Data!D:D)</f>
        <v>-0.51208340519109674</v>
      </c>
      <c r="D3" s="7" t="s">
        <v>41</v>
      </c>
      <c r="E3" s="15">
        <f>CORREL(Master_Data!C:C,Master_Data!D:D)</f>
        <v>-0.58950570980572869</v>
      </c>
    </row>
    <row r="5" spans="1:23" x14ac:dyDescent="0.3">
      <c r="A5" s="1" t="s">
        <v>2</v>
      </c>
      <c r="B5" s="2" t="s">
        <v>38</v>
      </c>
      <c r="C5" s="5"/>
      <c r="D5" s="1" t="s">
        <v>2</v>
      </c>
      <c r="E5" s="2" t="s">
        <v>26</v>
      </c>
    </row>
    <row r="6" spans="1:23" x14ac:dyDescent="0.3">
      <c r="A6" s="13" t="s">
        <v>7</v>
      </c>
      <c r="B6" s="14">
        <v>20</v>
      </c>
      <c r="D6" s="13" t="s">
        <v>7</v>
      </c>
      <c r="E6" s="14">
        <v>20</v>
      </c>
    </row>
    <row r="7" spans="1:23" x14ac:dyDescent="0.3">
      <c r="A7" s="13" t="s">
        <v>4</v>
      </c>
      <c r="B7" s="14">
        <v>19.132352941176471</v>
      </c>
      <c r="D7" s="13" t="s">
        <v>4</v>
      </c>
      <c r="E7" s="14">
        <v>9.6764705882352935</v>
      </c>
    </row>
    <row r="8" spans="1:23" x14ac:dyDescent="0.3">
      <c r="A8" s="13" t="s">
        <v>10</v>
      </c>
      <c r="B8" s="14">
        <v>15</v>
      </c>
      <c r="D8" s="13" t="s">
        <v>10</v>
      </c>
      <c r="E8" s="14">
        <v>7</v>
      </c>
    </row>
    <row r="9" spans="1:23" x14ac:dyDescent="0.3">
      <c r="A9" s="13" t="s">
        <v>9</v>
      </c>
      <c r="B9" s="14">
        <v>15</v>
      </c>
      <c r="D9" s="13" t="s">
        <v>9</v>
      </c>
      <c r="E9" s="14">
        <v>5</v>
      </c>
    </row>
  </sheetData>
  <mergeCells count="1">
    <mergeCell ref="A1:F1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491B-25EC-477D-93E1-EFF1FA689823}">
  <sheetPr>
    <tabColor rgb="FF92D050"/>
  </sheetPr>
  <dimension ref="A1:W1"/>
  <sheetViews>
    <sheetView showGridLines="0" workbookViewId="0">
      <selection activeCell="W30" sqref="W30"/>
    </sheetView>
  </sheetViews>
  <sheetFormatPr defaultRowHeight="14.4" x14ac:dyDescent="0.3"/>
  <sheetData>
    <row r="1" spans="1:23" ht="25.2" x14ac:dyDescent="0.6">
      <c r="A1" s="17" t="s">
        <v>34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</sheetData>
  <mergeCells count="1">
    <mergeCell ref="A1:W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2E0D-BFF0-401F-BE97-894DC227E463}">
  <sheetPr>
    <tabColor rgb="FF7030A0"/>
  </sheetPr>
  <dimension ref="A1:B72"/>
  <sheetViews>
    <sheetView showGridLines="0" workbookViewId="0">
      <selection activeCell="C1" sqref="C1"/>
    </sheetView>
  </sheetViews>
  <sheetFormatPr defaultRowHeight="14.4" x14ac:dyDescent="0.3"/>
  <cols>
    <col min="1" max="1" width="115.44140625" bestFit="1" customWidth="1"/>
    <col min="2" max="2" width="8.88671875" style="20"/>
  </cols>
  <sheetData>
    <row r="1" spans="1:2" ht="27.6" x14ac:dyDescent="0.3">
      <c r="A1" s="22" t="s">
        <v>36</v>
      </c>
    </row>
    <row r="2" spans="1:2" x14ac:dyDescent="0.3">
      <c r="A2" s="23"/>
    </row>
    <row r="3" spans="1:2" ht="21" x14ac:dyDescent="0.3">
      <c r="A3" s="24" t="s">
        <v>42</v>
      </c>
      <c r="B3" s="21"/>
    </row>
    <row r="4" spans="1:2" x14ac:dyDescent="0.3">
      <c r="A4" s="25"/>
      <c r="B4" s="21"/>
    </row>
    <row r="5" spans="1:2" x14ac:dyDescent="0.3">
      <c r="A5" s="26" t="s">
        <v>53</v>
      </c>
      <c r="B5" s="21"/>
    </row>
    <row r="6" spans="1:2" ht="15.6" x14ac:dyDescent="0.3">
      <c r="A6" s="27" t="s">
        <v>54</v>
      </c>
      <c r="B6" s="21"/>
    </row>
    <row r="7" spans="1:2" x14ac:dyDescent="0.3">
      <c r="A7" s="25"/>
      <c r="B7" s="21"/>
    </row>
    <row r="8" spans="1:2" x14ac:dyDescent="0.3">
      <c r="A8" s="26" t="s">
        <v>55</v>
      </c>
      <c r="B8" s="21"/>
    </row>
    <row r="9" spans="1:2" ht="15.6" x14ac:dyDescent="0.3">
      <c r="A9" s="27" t="s">
        <v>56</v>
      </c>
      <c r="B9" s="21"/>
    </row>
    <row r="10" spans="1:2" ht="15.6" x14ac:dyDescent="0.3">
      <c r="A10" s="27" t="s">
        <v>57</v>
      </c>
      <c r="B10" s="21"/>
    </row>
    <row r="11" spans="1:2" ht="15.6" x14ac:dyDescent="0.3">
      <c r="A11" s="27" t="s">
        <v>58</v>
      </c>
      <c r="B11" s="21"/>
    </row>
    <row r="12" spans="1:2" x14ac:dyDescent="0.3">
      <c r="A12" s="25"/>
      <c r="B12" s="21"/>
    </row>
    <row r="13" spans="1:2" x14ac:dyDescent="0.3">
      <c r="A13" s="26" t="s">
        <v>59</v>
      </c>
      <c r="B13" s="21"/>
    </row>
    <row r="14" spans="1:2" ht="15.6" x14ac:dyDescent="0.3">
      <c r="A14" s="27" t="s">
        <v>60</v>
      </c>
      <c r="B14" s="21"/>
    </row>
    <row r="15" spans="1:2" ht="15.6" x14ac:dyDescent="0.3">
      <c r="A15" s="27" t="s">
        <v>61</v>
      </c>
      <c r="B15" s="21"/>
    </row>
    <row r="16" spans="1:2" ht="15.6" x14ac:dyDescent="0.3">
      <c r="A16" s="27" t="s">
        <v>62</v>
      </c>
      <c r="B16" s="21"/>
    </row>
    <row r="17" spans="1:2" ht="15.6" x14ac:dyDescent="0.3">
      <c r="A17" s="27" t="s">
        <v>63</v>
      </c>
      <c r="B17" s="21"/>
    </row>
    <row r="18" spans="1:2" x14ac:dyDescent="0.3">
      <c r="A18" s="28"/>
      <c r="B18" s="21"/>
    </row>
    <row r="19" spans="1:2" ht="21" x14ac:dyDescent="0.3">
      <c r="A19" s="24" t="s">
        <v>43</v>
      </c>
      <c r="B19" s="21"/>
    </row>
    <row r="20" spans="1:2" x14ac:dyDescent="0.3">
      <c r="A20" s="25"/>
      <c r="B20" s="21"/>
    </row>
    <row r="21" spans="1:2" x14ac:dyDescent="0.3">
      <c r="A21" s="26" t="s">
        <v>64</v>
      </c>
      <c r="B21" s="21"/>
    </row>
    <row r="22" spans="1:2" ht="15.6" x14ac:dyDescent="0.3">
      <c r="A22" s="27" t="s">
        <v>65</v>
      </c>
      <c r="B22" s="21"/>
    </row>
    <row r="23" spans="1:2" ht="15.6" x14ac:dyDescent="0.3">
      <c r="A23" s="27" t="s">
        <v>66</v>
      </c>
      <c r="B23" s="21"/>
    </row>
    <row r="24" spans="1:2" x14ac:dyDescent="0.3">
      <c r="A24" s="25"/>
      <c r="B24" s="21"/>
    </row>
    <row r="25" spans="1:2" x14ac:dyDescent="0.3">
      <c r="A25" s="26" t="s">
        <v>67</v>
      </c>
      <c r="B25" s="21"/>
    </row>
    <row r="26" spans="1:2" ht="15.6" x14ac:dyDescent="0.3">
      <c r="A26" s="27" t="s">
        <v>68</v>
      </c>
      <c r="B26" s="21"/>
    </row>
    <row r="27" spans="1:2" ht="15.6" x14ac:dyDescent="0.3">
      <c r="A27" s="27" t="s">
        <v>69</v>
      </c>
      <c r="B27" s="21"/>
    </row>
    <row r="28" spans="1:2" x14ac:dyDescent="0.3">
      <c r="A28" s="25"/>
      <c r="B28" s="21"/>
    </row>
    <row r="29" spans="1:2" x14ac:dyDescent="0.3">
      <c r="A29" s="26" t="s">
        <v>70</v>
      </c>
      <c r="B29" s="21"/>
    </row>
    <row r="30" spans="1:2" ht="15.6" x14ac:dyDescent="0.3">
      <c r="A30" s="27" t="s">
        <v>44</v>
      </c>
      <c r="B30" s="21"/>
    </row>
    <row r="31" spans="1:2" ht="15.6" x14ac:dyDescent="0.3">
      <c r="A31" s="27" t="s">
        <v>45</v>
      </c>
      <c r="B31" s="21"/>
    </row>
    <row r="32" spans="1:2" ht="15.6" x14ac:dyDescent="0.3">
      <c r="A32" s="27" t="s">
        <v>46</v>
      </c>
      <c r="B32" s="21"/>
    </row>
    <row r="33" spans="1:2" x14ac:dyDescent="0.3">
      <c r="A33" s="25"/>
      <c r="B33" s="21"/>
    </row>
    <row r="34" spans="1:2" x14ac:dyDescent="0.3">
      <c r="A34" s="26" t="s">
        <v>71</v>
      </c>
      <c r="B34" s="21"/>
    </row>
    <row r="35" spans="1:2" ht="15.6" x14ac:dyDescent="0.3">
      <c r="A35" s="27" t="s">
        <v>44</v>
      </c>
      <c r="B35" s="21"/>
    </row>
    <row r="36" spans="1:2" ht="15.6" x14ac:dyDescent="0.3">
      <c r="A36" s="27" t="s">
        <v>47</v>
      </c>
      <c r="B36" s="21"/>
    </row>
    <row r="37" spans="1:2" ht="15.6" x14ac:dyDescent="0.3">
      <c r="A37" s="27" t="s">
        <v>48</v>
      </c>
      <c r="B37" s="21"/>
    </row>
    <row r="38" spans="1:2" ht="15.6" x14ac:dyDescent="0.3">
      <c r="A38" s="27" t="s">
        <v>49</v>
      </c>
      <c r="B38" s="21"/>
    </row>
    <row r="39" spans="1:2" x14ac:dyDescent="0.3">
      <c r="A39" s="28"/>
      <c r="B39" s="21"/>
    </row>
    <row r="40" spans="1:2" ht="21" x14ac:dyDescent="0.3">
      <c r="A40" s="24" t="s">
        <v>50</v>
      </c>
      <c r="B40" s="21"/>
    </row>
    <row r="41" spans="1:2" x14ac:dyDescent="0.3">
      <c r="A41" s="25"/>
      <c r="B41" s="21"/>
    </row>
    <row r="42" spans="1:2" x14ac:dyDescent="0.3">
      <c r="A42" s="26" t="s">
        <v>72</v>
      </c>
      <c r="B42" s="21"/>
    </row>
    <row r="43" spans="1:2" ht="15.6" x14ac:dyDescent="0.3">
      <c r="A43" s="27" t="s">
        <v>73</v>
      </c>
      <c r="B43" s="21"/>
    </row>
    <row r="44" spans="1:2" ht="15.6" x14ac:dyDescent="0.3">
      <c r="A44" s="27" t="s">
        <v>74</v>
      </c>
      <c r="B44" s="21"/>
    </row>
    <row r="45" spans="1:2" ht="15.6" x14ac:dyDescent="0.3">
      <c r="A45" s="27" t="s">
        <v>75</v>
      </c>
      <c r="B45" s="21"/>
    </row>
    <row r="46" spans="1:2" ht="15.6" x14ac:dyDescent="0.3">
      <c r="A46" s="27" t="s">
        <v>76</v>
      </c>
      <c r="B46" s="21"/>
    </row>
    <row r="47" spans="1:2" x14ac:dyDescent="0.3">
      <c r="A47" s="25"/>
      <c r="B47" s="21"/>
    </row>
    <row r="48" spans="1:2" x14ac:dyDescent="0.3">
      <c r="A48" s="26" t="s">
        <v>77</v>
      </c>
      <c r="B48" s="21"/>
    </row>
    <row r="49" spans="1:2" ht="15.6" x14ac:dyDescent="0.3">
      <c r="A49" s="27" t="s">
        <v>78</v>
      </c>
      <c r="B49" s="21"/>
    </row>
    <row r="50" spans="1:2" ht="15.6" x14ac:dyDescent="0.3">
      <c r="A50" s="27" t="s">
        <v>79</v>
      </c>
      <c r="B50" s="21"/>
    </row>
    <row r="51" spans="1:2" ht="15.6" x14ac:dyDescent="0.3">
      <c r="A51" s="27" t="s">
        <v>80</v>
      </c>
      <c r="B51" s="21"/>
    </row>
    <row r="52" spans="1:2" x14ac:dyDescent="0.3">
      <c r="A52" s="28"/>
      <c r="B52" s="21"/>
    </row>
    <row r="53" spans="1:2" ht="21" x14ac:dyDescent="0.3">
      <c r="A53" s="24" t="s">
        <v>51</v>
      </c>
      <c r="B53" s="21"/>
    </row>
    <row r="54" spans="1:2" x14ac:dyDescent="0.3">
      <c r="A54" s="25"/>
      <c r="B54" s="21"/>
    </row>
    <row r="55" spans="1:2" x14ac:dyDescent="0.3">
      <c r="A55" s="26" t="s">
        <v>81</v>
      </c>
      <c r="B55" s="21"/>
    </row>
    <row r="56" spans="1:2" ht="15.6" x14ac:dyDescent="0.3">
      <c r="A56" s="27" t="s">
        <v>82</v>
      </c>
      <c r="B56" s="21"/>
    </row>
    <row r="57" spans="1:2" x14ac:dyDescent="0.3">
      <c r="A57" s="25"/>
      <c r="B57" s="21"/>
    </row>
    <row r="58" spans="1:2" x14ac:dyDescent="0.3">
      <c r="A58" s="26" t="s">
        <v>83</v>
      </c>
      <c r="B58" s="21"/>
    </row>
    <row r="59" spans="1:2" ht="15.6" x14ac:dyDescent="0.3">
      <c r="A59" s="27" t="s">
        <v>84</v>
      </c>
      <c r="B59" s="21"/>
    </row>
    <row r="60" spans="1:2" x14ac:dyDescent="0.3">
      <c r="A60" s="25"/>
      <c r="B60" s="21"/>
    </row>
    <row r="61" spans="1:2" x14ac:dyDescent="0.3">
      <c r="A61" s="26" t="s">
        <v>85</v>
      </c>
      <c r="B61" s="21"/>
    </row>
    <row r="62" spans="1:2" ht="15.6" x14ac:dyDescent="0.3">
      <c r="A62" s="27" t="s">
        <v>86</v>
      </c>
      <c r="B62" s="21"/>
    </row>
    <row r="63" spans="1:2" x14ac:dyDescent="0.3">
      <c r="A63" s="25"/>
      <c r="B63" s="21"/>
    </row>
    <row r="64" spans="1:2" x14ac:dyDescent="0.3">
      <c r="A64" s="26" t="s">
        <v>87</v>
      </c>
      <c r="B64" s="21"/>
    </row>
    <row r="65" spans="1:2" ht="15.6" x14ac:dyDescent="0.3">
      <c r="A65" s="27" t="s">
        <v>88</v>
      </c>
      <c r="B65" s="21"/>
    </row>
    <row r="66" spans="1:2" x14ac:dyDescent="0.3">
      <c r="A66" s="25"/>
      <c r="B66" s="21"/>
    </row>
    <row r="67" spans="1:2" x14ac:dyDescent="0.3">
      <c r="A67" s="26" t="s">
        <v>89</v>
      </c>
      <c r="B67" s="21"/>
    </row>
    <row r="68" spans="1:2" ht="15.6" x14ac:dyDescent="0.3">
      <c r="A68" s="27" t="s">
        <v>90</v>
      </c>
      <c r="B68" s="21"/>
    </row>
    <row r="69" spans="1:2" x14ac:dyDescent="0.3">
      <c r="A69" s="28"/>
      <c r="B69" s="21"/>
    </row>
    <row r="70" spans="1:2" ht="21" x14ac:dyDescent="0.3">
      <c r="A70" s="24" t="s">
        <v>52</v>
      </c>
      <c r="B70" s="21"/>
    </row>
    <row r="71" spans="1:2" x14ac:dyDescent="0.3">
      <c r="A71" s="28"/>
      <c r="B71" s="21"/>
    </row>
    <row r="72" spans="1:2" ht="46.8" x14ac:dyDescent="0.3">
      <c r="A72" s="29" t="s">
        <v>91</v>
      </c>
      <c r="B72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591B-902F-41CD-8B92-11E62B8C4E85}">
  <sheetPr>
    <tabColor rgb="FFFF0000"/>
  </sheetPr>
  <dimension ref="A1:N25"/>
  <sheetViews>
    <sheetView workbookViewId="0">
      <selection sqref="A1:B1"/>
    </sheetView>
  </sheetViews>
  <sheetFormatPr defaultRowHeight="14.4" x14ac:dyDescent="0.3"/>
  <cols>
    <col min="1" max="1" width="22" bestFit="1" customWidth="1"/>
    <col min="2" max="2" width="27.77734375" bestFit="1" customWidth="1"/>
    <col min="4" max="4" width="30.33203125" bestFit="1" customWidth="1"/>
    <col min="5" max="5" width="24.5546875" bestFit="1" customWidth="1"/>
    <col min="6" max="6" width="30.33203125" bestFit="1" customWidth="1"/>
    <col min="7" max="7" width="6" bestFit="1" customWidth="1"/>
    <col min="8" max="8" width="8.6640625" bestFit="1" customWidth="1"/>
    <col min="10" max="10" width="18.88671875" bestFit="1" customWidth="1"/>
    <col min="11" max="11" width="24.6640625" bestFit="1" customWidth="1"/>
    <col min="12" max="12" width="7" bestFit="1" customWidth="1"/>
    <col min="13" max="13" width="6" bestFit="1" customWidth="1"/>
    <col min="14" max="14" width="8.6640625" bestFit="1" customWidth="1"/>
  </cols>
  <sheetData>
    <row r="1" spans="1:14" x14ac:dyDescent="0.3">
      <c r="A1" s="18" t="s">
        <v>20</v>
      </c>
      <c r="B1" s="18"/>
      <c r="D1" s="18" t="s">
        <v>21</v>
      </c>
      <c r="E1" s="18"/>
      <c r="F1" s="18"/>
      <c r="G1" s="18"/>
      <c r="H1" s="18"/>
      <c r="J1" s="18" t="s">
        <v>31</v>
      </c>
      <c r="K1" s="18"/>
      <c r="L1" s="18"/>
      <c r="M1" s="18"/>
      <c r="N1" s="18"/>
    </row>
    <row r="2" spans="1:14" x14ac:dyDescent="0.3">
      <c r="A2" s="1" t="s">
        <v>3</v>
      </c>
      <c r="B2" s="2" t="s">
        <v>19</v>
      </c>
      <c r="D2" s="1" t="s">
        <v>18</v>
      </c>
      <c r="E2" s="1" t="s">
        <v>3</v>
      </c>
      <c r="F2" s="2"/>
      <c r="G2" s="2"/>
      <c r="H2" s="2"/>
      <c r="J2" s="1" t="s">
        <v>23</v>
      </c>
      <c r="K2" s="1" t="s">
        <v>3</v>
      </c>
      <c r="L2" s="2"/>
      <c r="M2" s="2"/>
      <c r="N2" s="2"/>
    </row>
    <row r="3" spans="1:14" x14ac:dyDescent="0.3">
      <c r="A3" s="2" t="s">
        <v>5</v>
      </c>
      <c r="B3" s="3">
        <v>0.38613861386138615</v>
      </c>
      <c r="D3" s="1" t="s">
        <v>17</v>
      </c>
      <c r="E3" s="2" t="s">
        <v>5</v>
      </c>
      <c r="F3" s="2" t="s">
        <v>8</v>
      </c>
      <c r="G3" s="2" t="s">
        <v>16</v>
      </c>
      <c r="H3" s="2" t="s">
        <v>6</v>
      </c>
      <c r="J3" s="1" t="s">
        <v>2</v>
      </c>
      <c r="K3" s="2" t="s">
        <v>5</v>
      </c>
      <c r="L3" s="2" t="s">
        <v>8</v>
      </c>
      <c r="M3" s="2" t="s">
        <v>16</v>
      </c>
      <c r="N3" s="2" t="s">
        <v>6</v>
      </c>
    </row>
    <row r="4" spans="1:14" x14ac:dyDescent="0.3">
      <c r="A4" s="2" t="s">
        <v>8</v>
      </c>
      <c r="B4" s="3">
        <v>0.21782178217821782</v>
      </c>
      <c r="D4" s="2" t="s">
        <v>13</v>
      </c>
      <c r="E4" s="3">
        <v>0.22772277227722773</v>
      </c>
      <c r="F4" s="3">
        <v>4.9504950495049507E-2</v>
      </c>
      <c r="G4" s="3">
        <v>0</v>
      </c>
      <c r="H4" s="3">
        <v>0.22772277227722773</v>
      </c>
      <c r="J4" s="2" t="s">
        <v>7</v>
      </c>
      <c r="K4" s="3">
        <v>9.9009900990099011E-3</v>
      </c>
      <c r="L4" s="3">
        <v>0</v>
      </c>
      <c r="M4" s="3">
        <v>0</v>
      </c>
      <c r="N4" s="3">
        <v>9.9009900990099011E-3</v>
      </c>
    </row>
    <row r="5" spans="1:14" x14ac:dyDescent="0.3">
      <c r="A5" s="2" t="s">
        <v>16</v>
      </c>
      <c r="B5" s="3">
        <v>9.9009900990099011E-3</v>
      </c>
      <c r="D5" s="2" t="s">
        <v>14</v>
      </c>
      <c r="E5" s="3">
        <v>0.10891089108910891</v>
      </c>
      <c r="F5" s="3">
        <v>5.9405940594059403E-2</v>
      </c>
      <c r="G5" s="3">
        <v>0</v>
      </c>
      <c r="H5" s="3">
        <v>0.12871287128712872</v>
      </c>
      <c r="J5" s="2" t="s">
        <v>4</v>
      </c>
      <c r="K5" s="3">
        <v>0.28712871287128711</v>
      </c>
      <c r="L5" s="3">
        <v>9.9009900990099015E-2</v>
      </c>
      <c r="M5" s="3">
        <v>0</v>
      </c>
      <c r="N5" s="3">
        <v>0.28712871287128711</v>
      </c>
    </row>
    <row r="6" spans="1:14" x14ac:dyDescent="0.3">
      <c r="A6" s="2" t="s">
        <v>6</v>
      </c>
      <c r="B6" s="3">
        <v>0.38613861386138615</v>
      </c>
      <c r="D6" s="2" t="s">
        <v>15</v>
      </c>
      <c r="E6" s="3">
        <v>4.9504950495049507E-2</v>
      </c>
      <c r="F6" s="3">
        <v>0.10891089108910891</v>
      </c>
      <c r="G6" s="3">
        <v>9.9009900990099011E-3</v>
      </c>
      <c r="H6" s="3">
        <v>2.9702970297029702E-2</v>
      </c>
      <c r="J6" s="2" t="s">
        <v>10</v>
      </c>
      <c r="K6" s="3">
        <v>4.9504950495049507E-2</v>
      </c>
      <c r="L6" s="3">
        <v>9.9009900990099011E-3</v>
      </c>
      <c r="M6" s="3">
        <v>0</v>
      </c>
      <c r="N6" s="3">
        <v>3.9603960396039604E-2</v>
      </c>
    </row>
    <row r="7" spans="1:14" x14ac:dyDescent="0.3">
      <c r="J7" s="2" t="s">
        <v>9</v>
      </c>
      <c r="K7" s="3">
        <v>3.9603960396039604E-2</v>
      </c>
      <c r="L7" s="3">
        <v>0.10891089108910891</v>
      </c>
      <c r="M7" s="3">
        <v>9.9009900990099011E-3</v>
      </c>
      <c r="N7" s="3">
        <v>4.9504950495049507E-2</v>
      </c>
    </row>
    <row r="11" spans="1:14" x14ac:dyDescent="0.3">
      <c r="D11" s="5"/>
      <c r="E11" s="5"/>
      <c r="F11" s="5"/>
      <c r="G11" s="5"/>
      <c r="H11" s="5"/>
    </row>
    <row r="12" spans="1:14" x14ac:dyDescent="0.3">
      <c r="A12" s="18" t="s">
        <v>23</v>
      </c>
      <c r="B12" s="18"/>
      <c r="E12" s="19" t="s">
        <v>18</v>
      </c>
      <c r="F12" s="19"/>
      <c r="G12" s="6"/>
      <c r="H12" s="6"/>
    </row>
    <row r="13" spans="1:14" x14ac:dyDescent="0.3">
      <c r="A13" s="1" t="s">
        <v>2</v>
      </c>
      <c r="B13" s="2" t="s">
        <v>23</v>
      </c>
      <c r="E13" s="1" t="s">
        <v>17</v>
      </c>
      <c r="F13" s="2" t="s">
        <v>18</v>
      </c>
      <c r="H13" s="6"/>
      <c r="J13" s="18" t="s">
        <v>32</v>
      </c>
      <c r="K13" s="18"/>
    </row>
    <row r="14" spans="1:14" x14ac:dyDescent="0.3">
      <c r="A14" s="2" t="s">
        <v>7</v>
      </c>
      <c r="B14" s="3">
        <v>1.9801980198019802E-2</v>
      </c>
      <c r="E14" s="2" t="s">
        <v>13</v>
      </c>
      <c r="F14" s="3">
        <v>0.50495049504950495</v>
      </c>
      <c r="H14" s="6"/>
      <c r="J14" s="1" t="s">
        <v>11</v>
      </c>
      <c r="K14" s="2" t="s">
        <v>30</v>
      </c>
    </row>
    <row r="15" spans="1:14" x14ac:dyDescent="0.3">
      <c r="A15" s="2" t="s">
        <v>4</v>
      </c>
      <c r="B15" s="3">
        <v>0.67326732673267331</v>
      </c>
      <c r="E15" s="2" t="s">
        <v>14</v>
      </c>
      <c r="F15" s="3">
        <v>0.29702970297029702</v>
      </c>
      <c r="J15" s="2">
        <v>12</v>
      </c>
      <c r="K15" s="3">
        <v>9.9009900990099011E-3</v>
      </c>
    </row>
    <row r="16" spans="1:14" x14ac:dyDescent="0.3">
      <c r="A16" s="2" t="s">
        <v>10</v>
      </c>
      <c r="B16" s="3">
        <v>9.9009900990099015E-2</v>
      </c>
      <c r="E16" s="2" t="s">
        <v>15</v>
      </c>
      <c r="F16" s="3">
        <v>0.19801980198019803</v>
      </c>
      <c r="J16" s="2">
        <v>14</v>
      </c>
      <c r="K16" s="3">
        <v>9.9009900990099011E-3</v>
      </c>
    </row>
    <row r="17" spans="1:11" x14ac:dyDescent="0.3">
      <c r="A17" s="2" t="s">
        <v>9</v>
      </c>
      <c r="B17" s="3">
        <v>0.20792079207920791</v>
      </c>
      <c r="J17" s="2">
        <v>15</v>
      </c>
      <c r="K17" s="3">
        <v>0.39603960396039606</v>
      </c>
    </row>
    <row r="18" spans="1:11" x14ac:dyDescent="0.3">
      <c r="J18" s="2">
        <v>20</v>
      </c>
      <c r="K18" s="3">
        <v>0.58415841584158412</v>
      </c>
    </row>
    <row r="19" spans="1:11" x14ac:dyDescent="0.3">
      <c r="A19" s="18" t="s">
        <v>29</v>
      </c>
      <c r="B19" s="18"/>
    </row>
    <row r="20" spans="1:11" x14ac:dyDescent="0.3">
      <c r="A20" s="1" t="s">
        <v>12</v>
      </c>
      <c r="B20" s="2" t="s">
        <v>29</v>
      </c>
    </row>
    <row r="21" spans="1:11" x14ac:dyDescent="0.3">
      <c r="A21" s="2">
        <v>5</v>
      </c>
      <c r="B21" s="3">
        <v>0.23762376237623761</v>
      </c>
    </row>
    <row r="22" spans="1:11" x14ac:dyDescent="0.3">
      <c r="A22" s="2">
        <v>6</v>
      </c>
      <c r="B22" s="3">
        <v>9.9009900990099011E-3</v>
      </c>
    </row>
    <row r="23" spans="1:11" x14ac:dyDescent="0.3">
      <c r="A23" s="2">
        <v>7</v>
      </c>
      <c r="B23" s="3">
        <v>0.10891089108910891</v>
      </c>
    </row>
    <row r="24" spans="1:11" x14ac:dyDescent="0.3">
      <c r="A24" s="2">
        <v>10</v>
      </c>
      <c r="B24" s="3">
        <v>0.62376237623762376</v>
      </c>
    </row>
    <row r="25" spans="1:11" x14ac:dyDescent="0.3">
      <c r="A25" s="2">
        <v>20</v>
      </c>
      <c r="B25" s="3">
        <v>1.9801980198019802E-2</v>
      </c>
    </row>
  </sheetData>
  <mergeCells count="7">
    <mergeCell ref="A19:B19"/>
    <mergeCell ref="J13:K13"/>
    <mergeCell ref="A1:B1"/>
    <mergeCell ref="D1:H1"/>
    <mergeCell ref="J1:N1"/>
    <mergeCell ref="A12:B12"/>
    <mergeCell ref="E12:F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68DF-AB61-49E9-8468-59BE36649FD1}">
  <sheetPr>
    <tabColor rgb="FFFF0000"/>
  </sheetPr>
  <dimension ref="A1:G102"/>
  <sheetViews>
    <sheetView workbookViewId="0">
      <selection activeCell="L10" sqref="L10"/>
    </sheetView>
  </sheetViews>
  <sheetFormatPr defaultRowHeight="14.4" x14ac:dyDescent="0.3"/>
  <cols>
    <col min="1" max="1" width="6.44140625" bestFit="1" customWidth="1"/>
    <col min="2" max="2" width="18.88671875" bestFit="1" customWidth="1"/>
    <col min="3" max="3" width="22" bestFit="1" customWidth="1"/>
    <col min="4" max="4" width="10.109375" bestFit="1" customWidth="1"/>
    <col min="5" max="5" width="7.109375" bestFit="1" customWidth="1"/>
    <col min="6" max="6" width="12.6640625" bestFit="1" customWidth="1"/>
    <col min="7" max="7" width="24.5546875" bestFit="1" customWidth="1"/>
    <col min="8" max="8" width="16.44140625" bestFit="1" customWidth="1"/>
    <col min="9" max="9" width="7.109375" bestFit="1" customWidth="1"/>
    <col min="10" max="10" width="12.6640625" bestFit="1" customWidth="1"/>
  </cols>
  <sheetData>
    <row r="1" spans="1:7" x14ac:dyDescent="0.3">
      <c r="A1" t="s">
        <v>0</v>
      </c>
      <c r="B1" t="s">
        <v>11</v>
      </c>
      <c r="C1" t="s">
        <v>12</v>
      </c>
      <c r="D1" t="s">
        <v>1</v>
      </c>
      <c r="E1" t="s">
        <v>2</v>
      </c>
      <c r="F1" t="s">
        <v>3</v>
      </c>
      <c r="G1" t="s">
        <v>17</v>
      </c>
    </row>
    <row r="2" spans="1:7" x14ac:dyDescent="0.3">
      <c r="A2">
        <v>33</v>
      </c>
      <c r="B2">
        <v>20</v>
      </c>
      <c r="C2">
        <v>10</v>
      </c>
      <c r="D2">
        <v>30000</v>
      </c>
      <c r="E2" t="s">
        <v>4</v>
      </c>
      <c r="F2" t="s">
        <v>5</v>
      </c>
      <c r="G2" t="s">
        <v>13</v>
      </c>
    </row>
    <row r="3" spans="1:7" x14ac:dyDescent="0.3">
      <c r="A3">
        <v>27</v>
      </c>
      <c r="B3">
        <v>20</v>
      </c>
      <c r="C3">
        <v>10</v>
      </c>
      <c r="D3">
        <v>25000</v>
      </c>
      <c r="E3" t="s">
        <v>4</v>
      </c>
      <c r="F3" t="s">
        <v>6</v>
      </c>
      <c r="G3" t="s">
        <v>13</v>
      </c>
    </row>
    <row r="4" spans="1:7" x14ac:dyDescent="0.3">
      <c r="A4">
        <v>36</v>
      </c>
      <c r="B4">
        <v>20</v>
      </c>
      <c r="C4">
        <v>10</v>
      </c>
      <c r="D4">
        <v>30000</v>
      </c>
      <c r="E4" t="s">
        <v>4</v>
      </c>
      <c r="F4" t="s">
        <v>5</v>
      </c>
      <c r="G4" t="s">
        <v>13</v>
      </c>
    </row>
    <row r="5" spans="1:7" x14ac:dyDescent="0.3">
      <c r="A5">
        <v>36</v>
      </c>
      <c r="B5">
        <v>20</v>
      </c>
      <c r="C5">
        <v>20</v>
      </c>
      <c r="D5">
        <v>2000</v>
      </c>
      <c r="E5" t="s">
        <v>7</v>
      </c>
      <c r="F5" t="s">
        <v>5</v>
      </c>
      <c r="G5" t="s">
        <v>13</v>
      </c>
    </row>
    <row r="6" spans="1:7" x14ac:dyDescent="0.3">
      <c r="A6">
        <v>43</v>
      </c>
      <c r="B6">
        <v>20</v>
      </c>
      <c r="C6">
        <v>5</v>
      </c>
      <c r="D6">
        <v>25000</v>
      </c>
      <c r="E6" t="s">
        <v>4</v>
      </c>
      <c r="F6" t="s">
        <v>8</v>
      </c>
      <c r="G6" t="s">
        <v>13</v>
      </c>
    </row>
    <row r="7" spans="1:7" x14ac:dyDescent="0.3">
      <c r="A7">
        <v>40</v>
      </c>
      <c r="B7">
        <v>20</v>
      </c>
      <c r="C7">
        <v>10</v>
      </c>
      <c r="D7">
        <v>30000</v>
      </c>
      <c r="E7" t="s">
        <v>4</v>
      </c>
      <c r="F7" t="s">
        <v>5</v>
      </c>
      <c r="G7" t="s">
        <v>13</v>
      </c>
    </row>
    <row r="8" spans="1:7" x14ac:dyDescent="0.3">
      <c r="A8">
        <v>25</v>
      </c>
      <c r="B8">
        <v>12</v>
      </c>
      <c r="C8">
        <v>6</v>
      </c>
      <c r="D8">
        <v>30000</v>
      </c>
      <c r="E8" t="s">
        <v>4</v>
      </c>
      <c r="F8" t="s">
        <v>6</v>
      </c>
      <c r="G8" t="s">
        <v>13</v>
      </c>
    </row>
    <row r="9" spans="1:7" x14ac:dyDescent="0.3">
      <c r="A9">
        <v>26</v>
      </c>
      <c r="B9">
        <v>20</v>
      </c>
      <c r="C9">
        <v>20</v>
      </c>
      <c r="D9">
        <v>1500</v>
      </c>
      <c r="E9" t="s">
        <v>7</v>
      </c>
      <c r="F9" t="s">
        <v>6</v>
      </c>
      <c r="G9" t="s">
        <v>13</v>
      </c>
    </row>
    <row r="10" spans="1:7" x14ac:dyDescent="0.3">
      <c r="A10">
        <v>26</v>
      </c>
      <c r="B10">
        <v>20</v>
      </c>
      <c r="C10">
        <v>10</v>
      </c>
      <c r="D10">
        <v>100000</v>
      </c>
      <c r="E10" t="s">
        <v>4</v>
      </c>
      <c r="F10" t="s">
        <v>6</v>
      </c>
      <c r="G10" t="s">
        <v>14</v>
      </c>
    </row>
    <row r="11" spans="1:7" x14ac:dyDescent="0.3">
      <c r="A11">
        <v>46</v>
      </c>
      <c r="B11">
        <v>20</v>
      </c>
      <c r="C11">
        <v>10</v>
      </c>
      <c r="D11">
        <v>30000</v>
      </c>
      <c r="E11" t="s">
        <v>4</v>
      </c>
      <c r="F11" t="s">
        <v>8</v>
      </c>
      <c r="G11" t="s">
        <v>13</v>
      </c>
    </row>
    <row r="12" spans="1:7" x14ac:dyDescent="0.3">
      <c r="A12">
        <v>40</v>
      </c>
      <c r="B12">
        <v>20</v>
      </c>
      <c r="C12">
        <v>10</v>
      </c>
      <c r="D12">
        <v>100000</v>
      </c>
      <c r="E12" t="s">
        <v>4</v>
      </c>
      <c r="F12" t="s">
        <v>5</v>
      </c>
      <c r="G12" t="s">
        <v>14</v>
      </c>
    </row>
    <row r="13" spans="1:7" x14ac:dyDescent="0.3">
      <c r="A13">
        <v>49</v>
      </c>
      <c r="B13">
        <v>20</v>
      </c>
      <c r="C13">
        <v>10</v>
      </c>
      <c r="D13">
        <v>30000</v>
      </c>
      <c r="E13" t="s">
        <v>4</v>
      </c>
      <c r="F13" t="s">
        <v>8</v>
      </c>
      <c r="G13" t="s">
        <v>13</v>
      </c>
    </row>
    <row r="14" spans="1:7" x14ac:dyDescent="0.3">
      <c r="A14">
        <v>40</v>
      </c>
      <c r="B14">
        <v>20</v>
      </c>
      <c r="C14">
        <v>10</v>
      </c>
      <c r="D14">
        <v>30000</v>
      </c>
      <c r="E14" t="s">
        <v>4</v>
      </c>
      <c r="F14" t="s">
        <v>5</v>
      </c>
      <c r="G14" t="s">
        <v>13</v>
      </c>
    </row>
    <row r="15" spans="1:7" x14ac:dyDescent="0.3">
      <c r="A15">
        <v>43</v>
      </c>
      <c r="B15">
        <v>20</v>
      </c>
      <c r="C15">
        <v>10</v>
      </c>
      <c r="D15">
        <v>100000</v>
      </c>
      <c r="E15" t="s">
        <v>4</v>
      </c>
      <c r="F15" t="s">
        <v>8</v>
      </c>
      <c r="G15" t="s">
        <v>14</v>
      </c>
    </row>
    <row r="16" spans="1:7" x14ac:dyDescent="0.3">
      <c r="A16">
        <v>46</v>
      </c>
      <c r="B16">
        <v>20</v>
      </c>
      <c r="C16">
        <v>10</v>
      </c>
      <c r="D16">
        <v>275000</v>
      </c>
      <c r="E16" t="s">
        <v>4</v>
      </c>
      <c r="F16" t="s">
        <v>8</v>
      </c>
      <c r="G16" t="s">
        <v>15</v>
      </c>
    </row>
    <row r="17" spans="1:7" x14ac:dyDescent="0.3">
      <c r="A17">
        <v>33</v>
      </c>
      <c r="B17">
        <v>20</v>
      </c>
      <c r="C17">
        <v>5</v>
      </c>
      <c r="D17">
        <v>30000</v>
      </c>
      <c r="E17" t="s">
        <v>4</v>
      </c>
      <c r="F17" t="s">
        <v>5</v>
      </c>
      <c r="G17" t="s">
        <v>13</v>
      </c>
    </row>
    <row r="18" spans="1:7" x14ac:dyDescent="0.3">
      <c r="A18">
        <v>32</v>
      </c>
      <c r="B18">
        <v>14</v>
      </c>
      <c r="C18">
        <v>7</v>
      </c>
      <c r="D18">
        <v>30000</v>
      </c>
      <c r="E18" t="s">
        <v>4</v>
      </c>
      <c r="F18" t="s">
        <v>5</v>
      </c>
      <c r="G18" t="s">
        <v>13</v>
      </c>
    </row>
    <row r="19" spans="1:7" x14ac:dyDescent="0.3">
      <c r="A19">
        <v>38</v>
      </c>
      <c r="B19">
        <v>20</v>
      </c>
      <c r="C19">
        <v>10</v>
      </c>
      <c r="D19">
        <v>30000</v>
      </c>
      <c r="E19" t="s">
        <v>4</v>
      </c>
      <c r="F19" t="s">
        <v>5</v>
      </c>
      <c r="G19" t="s">
        <v>13</v>
      </c>
    </row>
    <row r="20" spans="1:7" x14ac:dyDescent="0.3">
      <c r="A20">
        <v>27</v>
      </c>
      <c r="B20">
        <v>15</v>
      </c>
      <c r="C20">
        <v>5</v>
      </c>
      <c r="D20">
        <v>335000</v>
      </c>
      <c r="E20" t="s">
        <v>9</v>
      </c>
      <c r="F20" t="s">
        <v>6</v>
      </c>
      <c r="G20" t="s">
        <v>15</v>
      </c>
    </row>
    <row r="21" spans="1:7" x14ac:dyDescent="0.3">
      <c r="A21">
        <v>45</v>
      </c>
      <c r="B21">
        <v>15</v>
      </c>
      <c r="C21">
        <v>5</v>
      </c>
      <c r="D21">
        <v>40000</v>
      </c>
      <c r="E21" t="s">
        <v>4</v>
      </c>
      <c r="F21" t="s">
        <v>8</v>
      </c>
      <c r="G21" t="s">
        <v>13</v>
      </c>
    </row>
    <row r="22" spans="1:7" x14ac:dyDescent="0.3">
      <c r="A22">
        <v>30</v>
      </c>
      <c r="B22">
        <v>20</v>
      </c>
      <c r="C22">
        <v>10</v>
      </c>
      <c r="D22">
        <v>20000</v>
      </c>
      <c r="E22" t="s">
        <v>4</v>
      </c>
      <c r="F22" t="s">
        <v>6</v>
      </c>
      <c r="G22" t="s">
        <v>13</v>
      </c>
    </row>
    <row r="23" spans="1:7" x14ac:dyDescent="0.3">
      <c r="A23">
        <v>46</v>
      </c>
      <c r="B23">
        <v>15</v>
      </c>
      <c r="C23">
        <v>10</v>
      </c>
      <c r="D23">
        <v>100000</v>
      </c>
      <c r="E23" t="s">
        <v>4</v>
      </c>
      <c r="F23" t="s">
        <v>8</v>
      </c>
      <c r="G23" t="s">
        <v>14</v>
      </c>
    </row>
    <row r="24" spans="1:7" x14ac:dyDescent="0.3">
      <c r="A24">
        <v>23</v>
      </c>
      <c r="B24">
        <v>20</v>
      </c>
      <c r="C24">
        <v>10</v>
      </c>
      <c r="D24">
        <v>100000</v>
      </c>
      <c r="E24" t="s">
        <v>4</v>
      </c>
      <c r="F24" t="s">
        <v>6</v>
      </c>
      <c r="G24" t="s">
        <v>14</v>
      </c>
    </row>
    <row r="25" spans="1:7" x14ac:dyDescent="0.3">
      <c r="A25">
        <v>43</v>
      </c>
      <c r="B25">
        <v>15</v>
      </c>
      <c r="C25">
        <v>5</v>
      </c>
      <c r="D25">
        <v>200000</v>
      </c>
      <c r="E25" t="s">
        <v>9</v>
      </c>
      <c r="F25" t="s">
        <v>8</v>
      </c>
      <c r="G25" t="s">
        <v>15</v>
      </c>
    </row>
    <row r="26" spans="1:7" x14ac:dyDescent="0.3">
      <c r="A26">
        <v>35</v>
      </c>
      <c r="B26">
        <v>20</v>
      </c>
      <c r="C26">
        <v>10</v>
      </c>
      <c r="D26">
        <v>100000</v>
      </c>
      <c r="E26" t="s">
        <v>4</v>
      </c>
      <c r="F26" t="s">
        <v>5</v>
      </c>
      <c r="G26" t="s">
        <v>14</v>
      </c>
    </row>
    <row r="27" spans="1:7" x14ac:dyDescent="0.3">
      <c r="A27">
        <v>36</v>
      </c>
      <c r="B27">
        <v>15</v>
      </c>
      <c r="C27">
        <v>7</v>
      </c>
      <c r="D27">
        <v>100000</v>
      </c>
      <c r="E27" t="s">
        <v>10</v>
      </c>
      <c r="F27" t="s">
        <v>5</v>
      </c>
      <c r="G27" t="s">
        <v>14</v>
      </c>
    </row>
    <row r="28" spans="1:7" x14ac:dyDescent="0.3">
      <c r="A28">
        <v>37</v>
      </c>
      <c r="B28">
        <v>15</v>
      </c>
      <c r="C28">
        <v>7</v>
      </c>
      <c r="D28">
        <v>75000</v>
      </c>
      <c r="E28" t="s">
        <v>10</v>
      </c>
      <c r="F28" t="s">
        <v>5</v>
      </c>
      <c r="G28" t="s">
        <v>14</v>
      </c>
    </row>
    <row r="29" spans="1:7" x14ac:dyDescent="0.3">
      <c r="A29">
        <v>42</v>
      </c>
      <c r="B29">
        <v>15</v>
      </c>
      <c r="C29">
        <v>5</v>
      </c>
      <c r="D29">
        <v>250000</v>
      </c>
      <c r="E29" t="s">
        <v>9</v>
      </c>
      <c r="F29" t="s">
        <v>8</v>
      </c>
      <c r="G29" t="s">
        <v>15</v>
      </c>
    </row>
    <row r="30" spans="1:7" x14ac:dyDescent="0.3">
      <c r="A30">
        <v>26</v>
      </c>
      <c r="B30">
        <v>20</v>
      </c>
      <c r="C30">
        <v>10</v>
      </c>
      <c r="D30">
        <v>100000</v>
      </c>
      <c r="E30" t="s">
        <v>4</v>
      </c>
      <c r="F30" t="s">
        <v>6</v>
      </c>
      <c r="G30" t="s">
        <v>14</v>
      </c>
    </row>
    <row r="31" spans="1:7" x14ac:dyDescent="0.3">
      <c r="A31">
        <v>32</v>
      </c>
      <c r="B31">
        <v>20</v>
      </c>
      <c r="C31">
        <v>10</v>
      </c>
      <c r="D31">
        <v>100000</v>
      </c>
      <c r="E31" t="s">
        <v>4</v>
      </c>
      <c r="F31" t="s">
        <v>5</v>
      </c>
      <c r="G31" t="s">
        <v>14</v>
      </c>
    </row>
    <row r="32" spans="1:7" x14ac:dyDescent="0.3">
      <c r="A32">
        <v>34</v>
      </c>
      <c r="B32">
        <v>15</v>
      </c>
      <c r="C32">
        <v>7</v>
      </c>
      <c r="D32">
        <v>50000</v>
      </c>
      <c r="E32" t="s">
        <v>10</v>
      </c>
      <c r="F32" t="s">
        <v>5</v>
      </c>
      <c r="G32" t="s">
        <v>13</v>
      </c>
    </row>
    <row r="33" spans="1:7" x14ac:dyDescent="0.3">
      <c r="A33">
        <v>25</v>
      </c>
      <c r="B33">
        <v>15</v>
      </c>
      <c r="C33">
        <v>7</v>
      </c>
      <c r="D33">
        <v>75000</v>
      </c>
      <c r="E33" t="s">
        <v>10</v>
      </c>
      <c r="F33" t="s">
        <v>6</v>
      </c>
      <c r="G33" t="s">
        <v>14</v>
      </c>
    </row>
    <row r="34" spans="1:7" x14ac:dyDescent="0.3">
      <c r="A34">
        <v>29</v>
      </c>
      <c r="B34">
        <v>20</v>
      </c>
      <c r="C34">
        <v>10</v>
      </c>
      <c r="D34">
        <v>50000</v>
      </c>
      <c r="E34" t="s">
        <v>4</v>
      </c>
      <c r="F34" t="s">
        <v>6</v>
      </c>
      <c r="G34" t="s">
        <v>13</v>
      </c>
    </row>
    <row r="35" spans="1:7" x14ac:dyDescent="0.3">
      <c r="A35">
        <v>34</v>
      </c>
      <c r="B35">
        <v>15</v>
      </c>
      <c r="C35">
        <v>7</v>
      </c>
      <c r="D35">
        <v>75000</v>
      </c>
      <c r="E35" t="s">
        <v>10</v>
      </c>
      <c r="F35" t="s">
        <v>5</v>
      </c>
      <c r="G35" t="s">
        <v>14</v>
      </c>
    </row>
    <row r="36" spans="1:7" x14ac:dyDescent="0.3">
      <c r="A36">
        <v>26</v>
      </c>
      <c r="B36">
        <v>20</v>
      </c>
      <c r="C36">
        <v>10</v>
      </c>
      <c r="D36">
        <v>30000</v>
      </c>
      <c r="E36" t="s">
        <v>4</v>
      </c>
      <c r="F36" t="s">
        <v>6</v>
      </c>
      <c r="G36" t="s">
        <v>13</v>
      </c>
    </row>
    <row r="37" spans="1:7" x14ac:dyDescent="0.3">
      <c r="A37">
        <v>23</v>
      </c>
      <c r="B37">
        <v>20</v>
      </c>
      <c r="C37">
        <v>10</v>
      </c>
      <c r="D37">
        <v>20000</v>
      </c>
      <c r="E37" t="s">
        <v>4</v>
      </c>
      <c r="F37" t="s">
        <v>6</v>
      </c>
      <c r="G37" t="s">
        <v>13</v>
      </c>
    </row>
    <row r="38" spans="1:7" x14ac:dyDescent="0.3">
      <c r="A38">
        <v>28</v>
      </c>
      <c r="B38">
        <v>20</v>
      </c>
      <c r="C38">
        <v>10</v>
      </c>
      <c r="D38">
        <v>25000</v>
      </c>
      <c r="E38" t="s">
        <v>4</v>
      </c>
      <c r="F38" t="s">
        <v>6</v>
      </c>
      <c r="G38" t="s">
        <v>13</v>
      </c>
    </row>
    <row r="39" spans="1:7" x14ac:dyDescent="0.3">
      <c r="A39">
        <v>24</v>
      </c>
      <c r="B39">
        <v>20</v>
      </c>
      <c r="C39">
        <v>10</v>
      </c>
      <c r="D39">
        <v>20000</v>
      </c>
      <c r="E39" t="s">
        <v>4</v>
      </c>
      <c r="F39" t="s">
        <v>6</v>
      </c>
      <c r="G39" t="s">
        <v>13</v>
      </c>
    </row>
    <row r="40" spans="1:7" x14ac:dyDescent="0.3">
      <c r="A40">
        <v>30</v>
      </c>
      <c r="B40">
        <v>15</v>
      </c>
      <c r="C40">
        <v>5</v>
      </c>
      <c r="D40">
        <v>500000</v>
      </c>
      <c r="E40" t="s">
        <v>9</v>
      </c>
      <c r="F40" t="s">
        <v>6</v>
      </c>
      <c r="G40" t="s">
        <v>15</v>
      </c>
    </row>
    <row r="41" spans="1:7" x14ac:dyDescent="0.3">
      <c r="A41">
        <v>44</v>
      </c>
      <c r="B41">
        <v>15</v>
      </c>
      <c r="C41">
        <v>5</v>
      </c>
      <c r="D41">
        <v>150000</v>
      </c>
      <c r="E41" t="s">
        <v>9</v>
      </c>
      <c r="F41" t="s">
        <v>8</v>
      </c>
      <c r="G41" t="s">
        <v>14</v>
      </c>
    </row>
    <row r="42" spans="1:7" x14ac:dyDescent="0.3">
      <c r="A42">
        <v>45</v>
      </c>
      <c r="B42">
        <v>15</v>
      </c>
      <c r="C42">
        <v>5</v>
      </c>
      <c r="D42">
        <v>200000</v>
      </c>
      <c r="E42" t="s">
        <v>9</v>
      </c>
      <c r="F42" t="s">
        <v>8</v>
      </c>
      <c r="G42" t="s">
        <v>15</v>
      </c>
    </row>
    <row r="43" spans="1:7" x14ac:dyDescent="0.3">
      <c r="A43">
        <v>23</v>
      </c>
      <c r="B43">
        <v>20</v>
      </c>
      <c r="C43">
        <v>10</v>
      </c>
      <c r="D43">
        <v>100000</v>
      </c>
      <c r="E43" t="s">
        <v>4</v>
      </c>
      <c r="F43" t="s">
        <v>6</v>
      </c>
      <c r="G43" t="s">
        <v>14</v>
      </c>
    </row>
    <row r="44" spans="1:7" x14ac:dyDescent="0.3">
      <c r="A44">
        <v>35</v>
      </c>
      <c r="B44">
        <v>15</v>
      </c>
      <c r="C44">
        <v>7</v>
      </c>
      <c r="D44">
        <v>50000</v>
      </c>
      <c r="E44" t="s">
        <v>10</v>
      </c>
      <c r="F44" t="s">
        <v>5</v>
      </c>
      <c r="G44" t="s">
        <v>13</v>
      </c>
    </row>
    <row r="45" spans="1:7" x14ac:dyDescent="0.3">
      <c r="A45">
        <v>26</v>
      </c>
      <c r="B45">
        <v>20</v>
      </c>
      <c r="C45">
        <v>10</v>
      </c>
      <c r="D45">
        <v>100000</v>
      </c>
      <c r="E45" t="s">
        <v>4</v>
      </c>
      <c r="F45" t="s">
        <v>6</v>
      </c>
      <c r="G45" t="s">
        <v>14</v>
      </c>
    </row>
    <row r="46" spans="1:7" x14ac:dyDescent="0.3">
      <c r="A46">
        <v>34</v>
      </c>
      <c r="B46">
        <v>20</v>
      </c>
      <c r="C46">
        <v>10</v>
      </c>
      <c r="D46">
        <v>50000</v>
      </c>
      <c r="E46" t="s">
        <v>4</v>
      </c>
      <c r="F46" t="s">
        <v>5</v>
      </c>
      <c r="G46" t="s">
        <v>13</v>
      </c>
    </row>
    <row r="47" spans="1:7" x14ac:dyDescent="0.3">
      <c r="A47">
        <v>31</v>
      </c>
      <c r="B47">
        <v>20</v>
      </c>
      <c r="C47">
        <v>10</v>
      </c>
      <c r="D47">
        <v>75000</v>
      </c>
      <c r="E47" t="s">
        <v>4</v>
      </c>
      <c r="F47" t="s">
        <v>5</v>
      </c>
      <c r="G47" t="s">
        <v>14</v>
      </c>
    </row>
    <row r="48" spans="1:7" x14ac:dyDescent="0.3">
      <c r="A48">
        <v>31</v>
      </c>
      <c r="B48">
        <v>20</v>
      </c>
      <c r="C48">
        <v>10</v>
      </c>
      <c r="D48">
        <v>150000</v>
      </c>
      <c r="E48" t="s">
        <v>4</v>
      </c>
      <c r="F48" t="s">
        <v>5</v>
      </c>
      <c r="G48" t="s">
        <v>14</v>
      </c>
    </row>
    <row r="49" spans="1:7" x14ac:dyDescent="0.3">
      <c r="A49">
        <v>30</v>
      </c>
      <c r="B49">
        <v>20</v>
      </c>
      <c r="C49">
        <v>10</v>
      </c>
      <c r="D49">
        <v>50000</v>
      </c>
      <c r="E49" t="s">
        <v>4</v>
      </c>
      <c r="F49" t="s">
        <v>6</v>
      </c>
      <c r="G49" t="s">
        <v>13</v>
      </c>
    </row>
    <row r="50" spans="1:7" x14ac:dyDescent="0.3">
      <c r="A50">
        <v>33</v>
      </c>
      <c r="B50">
        <v>20</v>
      </c>
      <c r="C50">
        <v>10</v>
      </c>
      <c r="D50">
        <v>50000</v>
      </c>
      <c r="E50" t="s">
        <v>4</v>
      </c>
      <c r="F50" t="s">
        <v>5</v>
      </c>
      <c r="G50" t="s">
        <v>13</v>
      </c>
    </row>
    <row r="51" spans="1:7" x14ac:dyDescent="0.3">
      <c r="A51">
        <v>38</v>
      </c>
      <c r="B51">
        <v>15</v>
      </c>
      <c r="C51">
        <v>10</v>
      </c>
      <c r="D51">
        <v>100000</v>
      </c>
      <c r="E51" t="s">
        <v>4</v>
      </c>
      <c r="F51" t="s">
        <v>5</v>
      </c>
      <c r="G51" t="s">
        <v>14</v>
      </c>
    </row>
    <row r="52" spans="1:7" x14ac:dyDescent="0.3">
      <c r="A52">
        <v>44</v>
      </c>
      <c r="B52">
        <v>15</v>
      </c>
      <c r="C52">
        <v>10</v>
      </c>
      <c r="D52">
        <v>100000</v>
      </c>
      <c r="E52" t="s">
        <v>4</v>
      </c>
      <c r="F52" t="s">
        <v>8</v>
      </c>
      <c r="G52" t="s">
        <v>14</v>
      </c>
    </row>
    <row r="53" spans="1:7" x14ac:dyDescent="0.3">
      <c r="A53">
        <v>26</v>
      </c>
      <c r="B53">
        <v>15</v>
      </c>
      <c r="C53">
        <v>7</v>
      </c>
      <c r="D53">
        <v>60000</v>
      </c>
      <c r="E53" t="s">
        <v>10</v>
      </c>
      <c r="F53" t="s">
        <v>6</v>
      </c>
      <c r="G53" t="s">
        <v>14</v>
      </c>
    </row>
    <row r="54" spans="1:7" x14ac:dyDescent="0.3">
      <c r="A54">
        <v>38</v>
      </c>
      <c r="B54">
        <v>15</v>
      </c>
      <c r="C54">
        <v>10</v>
      </c>
      <c r="D54">
        <v>50000</v>
      </c>
      <c r="E54" t="s">
        <v>4</v>
      </c>
      <c r="F54" t="s">
        <v>5</v>
      </c>
      <c r="G54" t="s">
        <v>13</v>
      </c>
    </row>
    <row r="55" spans="1:7" x14ac:dyDescent="0.3">
      <c r="A55">
        <v>43</v>
      </c>
      <c r="B55">
        <v>15</v>
      </c>
      <c r="C55">
        <v>10</v>
      </c>
      <c r="D55">
        <v>100000</v>
      </c>
      <c r="E55" t="s">
        <v>4</v>
      </c>
      <c r="F55" t="s">
        <v>8</v>
      </c>
      <c r="G55" t="s">
        <v>14</v>
      </c>
    </row>
    <row r="56" spans="1:7" x14ac:dyDescent="0.3">
      <c r="A56">
        <v>59</v>
      </c>
      <c r="B56">
        <v>15</v>
      </c>
      <c r="C56">
        <v>5</v>
      </c>
      <c r="D56">
        <v>350000</v>
      </c>
      <c r="E56" t="s">
        <v>9</v>
      </c>
      <c r="F56" t="s">
        <v>16</v>
      </c>
      <c r="G56" t="s">
        <v>15</v>
      </c>
    </row>
    <row r="57" spans="1:7" x14ac:dyDescent="0.3">
      <c r="A57">
        <v>33</v>
      </c>
      <c r="B57">
        <v>20</v>
      </c>
      <c r="C57">
        <v>10</v>
      </c>
      <c r="D57">
        <v>200000</v>
      </c>
      <c r="E57" t="s">
        <v>4</v>
      </c>
      <c r="F57" t="s">
        <v>5</v>
      </c>
      <c r="G57" t="s">
        <v>15</v>
      </c>
    </row>
    <row r="58" spans="1:7" x14ac:dyDescent="0.3">
      <c r="A58">
        <v>31</v>
      </c>
      <c r="B58">
        <v>15</v>
      </c>
      <c r="C58">
        <v>5</v>
      </c>
      <c r="D58">
        <v>500000</v>
      </c>
      <c r="E58" t="s">
        <v>9</v>
      </c>
      <c r="F58" t="s">
        <v>5</v>
      </c>
      <c r="G58" t="s">
        <v>15</v>
      </c>
    </row>
    <row r="59" spans="1:7" x14ac:dyDescent="0.3">
      <c r="A59">
        <v>24</v>
      </c>
      <c r="B59">
        <v>20</v>
      </c>
      <c r="C59">
        <v>10</v>
      </c>
      <c r="D59">
        <v>20000</v>
      </c>
      <c r="E59" t="s">
        <v>4</v>
      </c>
      <c r="F59" t="s">
        <v>6</v>
      </c>
      <c r="G59" t="s">
        <v>13</v>
      </c>
    </row>
    <row r="60" spans="1:7" x14ac:dyDescent="0.3">
      <c r="A60">
        <v>25</v>
      </c>
      <c r="B60">
        <v>15</v>
      </c>
      <c r="C60">
        <v>5</v>
      </c>
      <c r="D60">
        <v>300000</v>
      </c>
      <c r="E60" t="s">
        <v>9</v>
      </c>
      <c r="F60" t="s">
        <v>6</v>
      </c>
      <c r="G60" t="s">
        <v>15</v>
      </c>
    </row>
    <row r="61" spans="1:7" x14ac:dyDescent="0.3">
      <c r="A61">
        <v>26</v>
      </c>
      <c r="B61">
        <v>20</v>
      </c>
      <c r="C61">
        <v>10</v>
      </c>
      <c r="D61">
        <v>30000</v>
      </c>
      <c r="E61" t="s">
        <v>4</v>
      </c>
      <c r="F61" t="s">
        <v>6</v>
      </c>
      <c r="G61" t="s">
        <v>13</v>
      </c>
    </row>
    <row r="62" spans="1:7" x14ac:dyDescent="0.3">
      <c r="A62">
        <v>33</v>
      </c>
      <c r="B62">
        <v>20</v>
      </c>
      <c r="C62">
        <v>10</v>
      </c>
      <c r="D62">
        <v>50000</v>
      </c>
      <c r="E62" t="s">
        <v>4</v>
      </c>
      <c r="F62" t="s">
        <v>5</v>
      </c>
      <c r="G62" t="s">
        <v>13</v>
      </c>
    </row>
    <row r="63" spans="1:7" x14ac:dyDescent="0.3">
      <c r="A63">
        <v>31</v>
      </c>
      <c r="B63">
        <v>20</v>
      </c>
      <c r="C63">
        <v>10</v>
      </c>
      <c r="D63">
        <v>60000</v>
      </c>
      <c r="E63" t="s">
        <v>4</v>
      </c>
      <c r="F63" t="s">
        <v>5</v>
      </c>
      <c r="G63" t="s">
        <v>14</v>
      </c>
    </row>
    <row r="64" spans="1:7" x14ac:dyDescent="0.3">
      <c r="A64">
        <v>25</v>
      </c>
      <c r="B64">
        <v>20</v>
      </c>
      <c r="C64">
        <v>10</v>
      </c>
      <c r="D64">
        <v>75000</v>
      </c>
      <c r="E64" t="s">
        <v>4</v>
      </c>
      <c r="F64" t="s">
        <v>6</v>
      </c>
      <c r="G64" t="s">
        <v>14</v>
      </c>
    </row>
    <row r="65" spans="1:7" x14ac:dyDescent="0.3">
      <c r="A65">
        <v>44</v>
      </c>
      <c r="B65">
        <v>15</v>
      </c>
      <c r="C65">
        <v>5</v>
      </c>
      <c r="D65">
        <v>200000</v>
      </c>
      <c r="E65" t="s">
        <v>9</v>
      </c>
      <c r="F65" t="s">
        <v>8</v>
      </c>
      <c r="G65" t="s">
        <v>15</v>
      </c>
    </row>
    <row r="66" spans="1:7" x14ac:dyDescent="0.3">
      <c r="A66">
        <v>41</v>
      </c>
      <c r="B66">
        <v>15</v>
      </c>
      <c r="C66">
        <v>5</v>
      </c>
      <c r="D66">
        <v>500000</v>
      </c>
      <c r="E66" t="s">
        <v>9</v>
      </c>
      <c r="F66" t="s">
        <v>8</v>
      </c>
      <c r="G66" t="s">
        <v>15</v>
      </c>
    </row>
    <row r="67" spans="1:7" x14ac:dyDescent="0.3">
      <c r="A67">
        <v>40</v>
      </c>
      <c r="B67">
        <v>15</v>
      </c>
      <c r="C67">
        <v>10</v>
      </c>
      <c r="D67">
        <v>100000</v>
      </c>
      <c r="E67" t="s">
        <v>4</v>
      </c>
      <c r="F67" t="s">
        <v>5</v>
      </c>
      <c r="G67" t="s">
        <v>14</v>
      </c>
    </row>
    <row r="68" spans="1:7" x14ac:dyDescent="0.3">
      <c r="A68">
        <v>21</v>
      </c>
      <c r="B68">
        <v>20</v>
      </c>
      <c r="C68">
        <v>10</v>
      </c>
      <c r="D68">
        <v>50000</v>
      </c>
      <c r="E68" t="s">
        <v>4</v>
      </c>
      <c r="F68" t="s">
        <v>6</v>
      </c>
      <c r="G68" t="s">
        <v>13</v>
      </c>
    </row>
    <row r="69" spans="1:7" x14ac:dyDescent="0.3">
      <c r="A69">
        <v>22</v>
      </c>
      <c r="B69">
        <v>20</v>
      </c>
      <c r="C69">
        <v>10</v>
      </c>
      <c r="D69">
        <v>30000</v>
      </c>
      <c r="E69" t="s">
        <v>4</v>
      </c>
      <c r="F69" t="s">
        <v>6</v>
      </c>
      <c r="G69" t="s">
        <v>13</v>
      </c>
    </row>
    <row r="70" spans="1:7" x14ac:dyDescent="0.3">
      <c r="A70">
        <v>28</v>
      </c>
      <c r="B70">
        <v>15</v>
      </c>
      <c r="C70">
        <v>7</v>
      </c>
      <c r="D70">
        <v>65000</v>
      </c>
      <c r="E70" t="s">
        <v>10</v>
      </c>
      <c r="F70" t="s">
        <v>6</v>
      </c>
      <c r="G70" t="s">
        <v>14</v>
      </c>
    </row>
    <row r="71" spans="1:7" x14ac:dyDescent="0.3">
      <c r="A71">
        <v>33</v>
      </c>
      <c r="B71">
        <v>20</v>
      </c>
      <c r="C71">
        <v>10</v>
      </c>
      <c r="D71">
        <v>30000</v>
      </c>
      <c r="E71" t="s">
        <v>4</v>
      </c>
      <c r="F71" t="s">
        <v>5</v>
      </c>
      <c r="G71" t="s">
        <v>13</v>
      </c>
    </row>
    <row r="72" spans="1:7" x14ac:dyDescent="0.3">
      <c r="A72">
        <v>30</v>
      </c>
      <c r="B72">
        <v>15</v>
      </c>
      <c r="C72">
        <v>5</v>
      </c>
      <c r="D72">
        <v>175000</v>
      </c>
      <c r="E72" t="s">
        <v>9</v>
      </c>
      <c r="F72" t="s">
        <v>6</v>
      </c>
      <c r="G72" t="s">
        <v>14</v>
      </c>
    </row>
    <row r="73" spans="1:7" x14ac:dyDescent="0.3">
      <c r="A73">
        <v>32</v>
      </c>
      <c r="B73">
        <v>20</v>
      </c>
      <c r="C73">
        <v>10</v>
      </c>
      <c r="D73">
        <v>50000</v>
      </c>
      <c r="E73" t="s">
        <v>4</v>
      </c>
      <c r="F73" t="s">
        <v>5</v>
      </c>
      <c r="G73" t="s">
        <v>13</v>
      </c>
    </row>
    <row r="74" spans="1:7" x14ac:dyDescent="0.3">
      <c r="A74">
        <v>22</v>
      </c>
      <c r="B74">
        <v>20</v>
      </c>
      <c r="C74">
        <v>10</v>
      </c>
      <c r="D74">
        <v>40000</v>
      </c>
      <c r="E74" t="s">
        <v>4</v>
      </c>
      <c r="F74" t="s">
        <v>6</v>
      </c>
      <c r="G74" t="s">
        <v>13</v>
      </c>
    </row>
    <row r="75" spans="1:7" x14ac:dyDescent="0.3">
      <c r="A75">
        <v>36</v>
      </c>
      <c r="B75">
        <v>15</v>
      </c>
      <c r="C75">
        <v>5</v>
      </c>
      <c r="D75">
        <v>200000</v>
      </c>
      <c r="E75" t="s">
        <v>9</v>
      </c>
      <c r="F75" t="s">
        <v>5</v>
      </c>
      <c r="G75" t="s">
        <v>15</v>
      </c>
    </row>
    <row r="76" spans="1:7" x14ac:dyDescent="0.3">
      <c r="A76">
        <v>36</v>
      </c>
      <c r="B76">
        <v>15</v>
      </c>
      <c r="C76">
        <v>5</v>
      </c>
      <c r="D76">
        <v>400000</v>
      </c>
      <c r="E76" t="s">
        <v>9</v>
      </c>
      <c r="F76" t="s">
        <v>5</v>
      </c>
      <c r="G76" t="s">
        <v>15</v>
      </c>
    </row>
    <row r="77" spans="1:7" x14ac:dyDescent="0.3">
      <c r="A77">
        <v>32</v>
      </c>
      <c r="B77">
        <v>15</v>
      </c>
      <c r="C77">
        <v>5</v>
      </c>
      <c r="D77">
        <v>300000</v>
      </c>
      <c r="E77" t="s">
        <v>9</v>
      </c>
      <c r="F77" t="s">
        <v>5</v>
      </c>
      <c r="G77" t="s">
        <v>15</v>
      </c>
    </row>
    <row r="78" spans="1:7" x14ac:dyDescent="0.3">
      <c r="A78">
        <v>45</v>
      </c>
      <c r="B78">
        <v>15</v>
      </c>
      <c r="C78">
        <v>5</v>
      </c>
      <c r="D78">
        <v>200000</v>
      </c>
      <c r="E78" t="s">
        <v>9</v>
      </c>
      <c r="F78" t="s">
        <v>8</v>
      </c>
      <c r="G78" t="s">
        <v>15</v>
      </c>
    </row>
    <row r="79" spans="1:7" x14ac:dyDescent="0.3">
      <c r="A79">
        <v>44</v>
      </c>
      <c r="B79">
        <v>15</v>
      </c>
      <c r="C79">
        <v>7</v>
      </c>
      <c r="D79">
        <v>60000</v>
      </c>
      <c r="E79" t="s">
        <v>10</v>
      </c>
      <c r="F79" t="s">
        <v>8</v>
      </c>
      <c r="G79" t="s">
        <v>14</v>
      </c>
    </row>
    <row r="80" spans="1:7" x14ac:dyDescent="0.3">
      <c r="A80">
        <v>21</v>
      </c>
      <c r="B80">
        <v>15</v>
      </c>
      <c r="C80">
        <v>5</v>
      </c>
      <c r="D80">
        <v>100000</v>
      </c>
      <c r="E80" t="s">
        <v>9</v>
      </c>
      <c r="F80" t="s">
        <v>6</v>
      </c>
      <c r="G80" t="s">
        <v>14</v>
      </c>
    </row>
    <row r="81" spans="1:7" x14ac:dyDescent="0.3">
      <c r="A81">
        <v>29</v>
      </c>
      <c r="B81">
        <v>20</v>
      </c>
      <c r="C81">
        <v>10</v>
      </c>
      <c r="D81">
        <v>100000</v>
      </c>
      <c r="E81" t="s">
        <v>4</v>
      </c>
      <c r="F81" t="s">
        <v>6</v>
      </c>
      <c r="G81" t="s">
        <v>14</v>
      </c>
    </row>
    <row r="82" spans="1:7" x14ac:dyDescent="0.3">
      <c r="A82">
        <v>29</v>
      </c>
      <c r="B82">
        <v>15</v>
      </c>
      <c r="C82">
        <v>7</v>
      </c>
      <c r="D82">
        <v>60000</v>
      </c>
      <c r="E82" t="s">
        <v>10</v>
      </c>
      <c r="F82" t="s">
        <v>6</v>
      </c>
      <c r="G82" t="s">
        <v>14</v>
      </c>
    </row>
    <row r="83" spans="1:7" x14ac:dyDescent="0.3">
      <c r="A83">
        <v>32</v>
      </c>
      <c r="B83">
        <v>20</v>
      </c>
      <c r="C83">
        <v>10</v>
      </c>
      <c r="D83">
        <v>25000</v>
      </c>
      <c r="E83" t="s">
        <v>4</v>
      </c>
      <c r="F83" t="s">
        <v>5</v>
      </c>
      <c r="G83" t="s">
        <v>13</v>
      </c>
    </row>
    <row r="84" spans="1:7" x14ac:dyDescent="0.3">
      <c r="A84">
        <v>33</v>
      </c>
      <c r="B84">
        <v>20</v>
      </c>
      <c r="C84">
        <v>10</v>
      </c>
      <c r="D84">
        <v>35000</v>
      </c>
      <c r="E84" t="s">
        <v>4</v>
      </c>
      <c r="F84" t="s">
        <v>5</v>
      </c>
      <c r="G84" t="s">
        <v>13</v>
      </c>
    </row>
    <row r="85" spans="1:7" x14ac:dyDescent="0.3">
      <c r="A85">
        <v>25</v>
      </c>
      <c r="B85">
        <v>20</v>
      </c>
      <c r="C85">
        <v>10</v>
      </c>
      <c r="D85">
        <v>30000</v>
      </c>
      <c r="E85" t="s">
        <v>4</v>
      </c>
      <c r="F85" t="s">
        <v>6</v>
      </c>
      <c r="G85" t="s">
        <v>13</v>
      </c>
    </row>
    <row r="86" spans="1:7" x14ac:dyDescent="0.3">
      <c r="A86">
        <v>21</v>
      </c>
      <c r="B86">
        <v>20</v>
      </c>
      <c r="C86">
        <v>10</v>
      </c>
      <c r="D86">
        <v>50000</v>
      </c>
      <c r="E86" t="s">
        <v>4</v>
      </c>
      <c r="F86" t="s">
        <v>6</v>
      </c>
      <c r="G86" t="s">
        <v>13</v>
      </c>
    </row>
    <row r="87" spans="1:7" x14ac:dyDescent="0.3">
      <c r="A87">
        <v>46</v>
      </c>
      <c r="B87">
        <v>15</v>
      </c>
      <c r="C87">
        <v>5</v>
      </c>
      <c r="D87">
        <v>500000</v>
      </c>
      <c r="E87" t="s">
        <v>9</v>
      </c>
      <c r="F87" t="s">
        <v>8</v>
      </c>
      <c r="G87" t="s">
        <v>15</v>
      </c>
    </row>
    <row r="88" spans="1:7" x14ac:dyDescent="0.3">
      <c r="A88">
        <v>34</v>
      </c>
      <c r="B88">
        <v>20</v>
      </c>
      <c r="C88">
        <v>10</v>
      </c>
      <c r="D88">
        <v>50000</v>
      </c>
      <c r="E88" t="s">
        <v>4</v>
      </c>
      <c r="F88" t="s">
        <v>5</v>
      </c>
      <c r="G88" t="s">
        <v>13</v>
      </c>
    </row>
    <row r="89" spans="1:7" x14ac:dyDescent="0.3">
      <c r="A89">
        <v>34</v>
      </c>
      <c r="B89">
        <v>20</v>
      </c>
      <c r="C89">
        <v>10</v>
      </c>
      <c r="D89">
        <v>30000</v>
      </c>
      <c r="E89" t="s">
        <v>4</v>
      </c>
      <c r="F89" t="s">
        <v>5</v>
      </c>
      <c r="G89" t="s">
        <v>13</v>
      </c>
    </row>
    <row r="90" spans="1:7" x14ac:dyDescent="0.3">
      <c r="A90">
        <v>32</v>
      </c>
      <c r="B90">
        <v>20</v>
      </c>
      <c r="C90">
        <v>10</v>
      </c>
      <c r="D90">
        <v>20000</v>
      </c>
      <c r="E90" t="s">
        <v>4</v>
      </c>
      <c r="F90" t="s">
        <v>5</v>
      </c>
      <c r="G90" t="s">
        <v>13</v>
      </c>
    </row>
    <row r="91" spans="1:7" x14ac:dyDescent="0.3">
      <c r="A91">
        <v>25</v>
      </c>
      <c r="B91">
        <v>20</v>
      </c>
      <c r="C91">
        <v>10</v>
      </c>
      <c r="D91">
        <v>50000</v>
      </c>
      <c r="E91" t="s">
        <v>4</v>
      </c>
      <c r="F91" t="s">
        <v>6</v>
      </c>
      <c r="G91" t="s">
        <v>13</v>
      </c>
    </row>
    <row r="92" spans="1:7" x14ac:dyDescent="0.3">
      <c r="A92">
        <v>26</v>
      </c>
      <c r="B92">
        <v>20</v>
      </c>
      <c r="C92">
        <v>10</v>
      </c>
      <c r="D92">
        <v>50000</v>
      </c>
      <c r="E92" t="s">
        <v>4</v>
      </c>
      <c r="F92" t="s">
        <v>6</v>
      </c>
      <c r="G92" t="s">
        <v>13</v>
      </c>
    </row>
    <row r="93" spans="1:7" x14ac:dyDescent="0.3">
      <c r="A93">
        <v>35</v>
      </c>
      <c r="B93">
        <v>20</v>
      </c>
      <c r="C93">
        <v>10</v>
      </c>
      <c r="D93">
        <v>50000</v>
      </c>
      <c r="E93" t="s">
        <v>4</v>
      </c>
      <c r="F93" t="s">
        <v>5</v>
      </c>
      <c r="G93" t="s">
        <v>13</v>
      </c>
    </row>
    <row r="94" spans="1:7" x14ac:dyDescent="0.3">
      <c r="A94">
        <v>44</v>
      </c>
      <c r="B94">
        <v>15</v>
      </c>
      <c r="C94">
        <v>5</v>
      </c>
      <c r="D94">
        <v>200000</v>
      </c>
      <c r="E94" t="s">
        <v>9</v>
      </c>
      <c r="F94" t="s">
        <v>8</v>
      </c>
      <c r="G94" t="s">
        <v>15</v>
      </c>
    </row>
    <row r="95" spans="1:7" x14ac:dyDescent="0.3">
      <c r="A95">
        <v>41</v>
      </c>
      <c r="B95">
        <v>15</v>
      </c>
      <c r="C95">
        <v>5</v>
      </c>
      <c r="D95">
        <v>250000</v>
      </c>
      <c r="E95" t="s">
        <v>9</v>
      </c>
      <c r="F95" t="s">
        <v>8</v>
      </c>
      <c r="G95" t="s">
        <v>15</v>
      </c>
    </row>
    <row r="96" spans="1:7" x14ac:dyDescent="0.3">
      <c r="A96">
        <v>35</v>
      </c>
      <c r="B96">
        <v>20</v>
      </c>
      <c r="C96">
        <v>10</v>
      </c>
      <c r="D96">
        <v>50000</v>
      </c>
      <c r="E96" t="s">
        <v>4</v>
      </c>
      <c r="F96" t="s">
        <v>5</v>
      </c>
      <c r="G96" t="s">
        <v>13</v>
      </c>
    </row>
    <row r="97" spans="1:7" x14ac:dyDescent="0.3">
      <c r="A97">
        <v>41</v>
      </c>
      <c r="B97">
        <v>15</v>
      </c>
      <c r="C97">
        <v>10</v>
      </c>
      <c r="D97">
        <v>50000</v>
      </c>
      <c r="E97" t="s">
        <v>4</v>
      </c>
      <c r="F97" t="s">
        <v>8</v>
      </c>
      <c r="G97" t="s">
        <v>13</v>
      </c>
    </row>
    <row r="98" spans="1:7" x14ac:dyDescent="0.3">
      <c r="A98">
        <v>45</v>
      </c>
      <c r="B98">
        <v>15</v>
      </c>
      <c r="C98">
        <v>5</v>
      </c>
      <c r="D98">
        <v>300000</v>
      </c>
      <c r="E98" t="s">
        <v>9</v>
      </c>
      <c r="F98" t="s">
        <v>8</v>
      </c>
      <c r="G98" t="s">
        <v>15</v>
      </c>
    </row>
    <row r="99" spans="1:7" x14ac:dyDescent="0.3">
      <c r="A99">
        <v>26</v>
      </c>
      <c r="B99">
        <v>20</v>
      </c>
      <c r="C99">
        <v>10</v>
      </c>
      <c r="D99">
        <v>20000</v>
      </c>
      <c r="E99" t="s">
        <v>4</v>
      </c>
      <c r="F99" t="s">
        <v>6</v>
      </c>
      <c r="G99" t="s">
        <v>13</v>
      </c>
    </row>
    <row r="100" spans="1:7" x14ac:dyDescent="0.3">
      <c r="A100">
        <v>26</v>
      </c>
      <c r="B100">
        <v>20</v>
      </c>
      <c r="C100">
        <v>10</v>
      </c>
      <c r="D100">
        <v>50000</v>
      </c>
      <c r="E100" t="s">
        <v>4</v>
      </c>
      <c r="F100" t="s">
        <v>6</v>
      </c>
      <c r="G100" t="s">
        <v>13</v>
      </c>
    </row>
    <row r="101" spans="1:7" x14ac:dyDescent="0.3">
      <c r="A101">
        <v>25</v>
      </c>
      <c r="B101">
        <v>20</v>
      </c>
      <c r="C101">
        <v>10</v>
      </c>
      <c r="D101">
        <v>30000</v>
      </c>
      <c r="E101" t="s">
        <v>4</v>
      </c>
      <c r="F101" t="s">
        <v>6</v>
      </c>
      <c r="G101" t="s">
        <v>13</v>
      </c>
    </row>
    <row r="102" spans="1:7" x14ac:dyDescent="0.3">
      <c r="E102" t="s">
        <v>35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BDE70F-4118-4602-9790-C7D9EC7909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 Page</vt:lpstr>
      <vt:lpstr>Demographic Insights</vt:lpstr>
      <vt:lpstr>Policy Characteristics</vt:lpstr>
      <vt:lpstr>Plan Analysis</vt:lpstr>
      <vt:lpstr>Recommendation</vt:lpstr>
      <vt:lpstr>Pivot Tables</vt:lpstr>
      <vt:lpstr>Master_Data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DEKH</dc:creator>
  <cp:lastModifiedBy>Dell</cp:lastModifiedBy>
  <cp:lastPrinted>2025-05-01T04:17:06Z</cp:lastPrinted>
  <dcterms:created xsi:type="dcterms:W3CDTF">2015-06-05T18:17:20Z</dcterms:created>
  <dcterms:modified xsi:type="dcterms:W3CDTF">2025-05-02T06:35:38Z</dcterms:modified>
</cp:coreProperties>
</file>